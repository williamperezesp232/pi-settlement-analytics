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hase Breakdown" sheetId="2" state="visible" r:id="rId4"/>
    <sheet name="Case Manager" sheetId="3" state="visible" r:id="rId5"/>
    <sheet name="Carrier" sheetId="4" state="visible" r:id="rId6"/>
    <sheet name="Injury Type" sheetId="5" state="visible" r:id="rId7"/>
    <sheet name="Active Alerts" sheetId="6" state="visible" r:id="rId8"/>
    <sheet name="CaseData" sheetId="7" state="visible" r:id="rId9"/>
  </sheets>
  <definedNames>
    <definedName function="false" hidden="true" localSheetId="6" name="_xlnm._FilterDatabase" vbProcedure="false">CaseData!$A$1:$AJ$201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<sst xmlns="http://schemas.openxmlformats.org/spreadsheetml/2006/main" count="2050" uniqueCount="534">
  <si>
    <t xml:space="preserve">Personal Injury Settlement &amp; Bottleneck Analytics</t>
  </si>
  <si>
    <t xml:space="preserve">Synthetic data | As of 2026-10-13 | Summary values are live formulas over the CaseData tab</t>
  </si>
  <si>
    <t xml:space="preserve">KPI</t>
  </si>
  <si>
    <t xml:space="preserve">Value</t>
  </si>
  <si>
    <t xml:space="preserve">Definition</t>
  </si>
  <si>
    <t xml:space="preserve">Total cases</t>
  </si>
  <si>
    <t xml:space="preserve">All intakes in dataset</t>
  </si>
  <si>
    <t xml:space="preserve">Closed cases</t>
  </si>
  <si>
    <t xml:space="preserve">Closing statement signed</t>
  </si>
  <si>
    <t xml:space="preserve">Open cases</t>
  </si>
  <si>
    <t xml:space="preserve">No closing statement yet</t>
  </si>
  <si>
    <t xml:space="preserve">ACTIVE stagnation alerts</t>
  </si>
  <si>
    <t xml:space="preserve">Open cases waiting &gt; 45 days on records/bills or adjuster's first offer</t>
  </si>
  <si>
    <t xml:space="preserve">Historical stagnation rate</t>
  </si>
  <si>
    <t xml:space="preserve">Cases that ever exceeded 45 days waiting on records or first offer</t>
  </si>
  <si>
    <t xml:space="preserve">Avg cycle, intake to closing (days)</t>
  </si>
  <si>
    <t xml:space="preserve">Closed cases only</t>
  </si>
  <si>
    <t xml:space="preserve">Median cycle (days)</t>
  </si>
  <si>
    <t xml:space="preserve">Controllable share of cycle</t>
  </si>
  <si>
    <t xml:space="preserve">Demand prep + settlement-to-closing (firm-owned work)</t>
  </si>
  <si>
    <t xml:space="preserve">External-wait share of cycle</t>
  </si>
  <si>
    <t xml:space="preserve">Records/bills wait + adjuster first-offer wait (third parties)</t>
  </si>
  <si>
    <t xml:space="preserve">Gross settlements accepted ($)</t>
  </si>
  <si>
    <t xml:space="preserve">Includes accepted-not-yet-closed</t>
  </si>
  <si>
    <t xml:space="preserve">Attorney fees earned ($)</t>
  </si>
  <si>
    <t xml:space="preserve">Settlement x fee % (33% pre-suit / 40% litigated)</t>
  </si>
  <si>
    <t xml:space="preserve">Original liens, closed cases ($)</t>
  </si>
  <si>
    <t xml:space="preserve">As asserted by lienholders</t>
  </si>
  <si>
    <t xml:space="preserve">Lien reduction savings ($)</t>
  </si>
  <si>
    <t xml:space="preserve">Original minus final negotiated liens</t>
  </si>
  <si>
    <t xml:space="preserve">Lien reduction (dollar-weighted)</t>
  </si>
  <si>
    <t xml:space="preserve">Savings / original liens</t>
  </si>
  <si>
    <t xml:space="preserve">Net_Attorney_Fee = settlement x fee %; case costs are treated as pass-through (not in dataset).</t>
  </si>
  <si>
    <t xml:space="preserve">Where does the time go? (average days per phase, closed cases)</t>
  </si>
  <si>
    <t xml:space="preserve">Phase</t>
  </si>
  <si>
    <t xml:space="preserve">Owner</t>
  </si>
  <si>
    <t xml:space="preserve">Avg days</t>
  </si>
  <si>
    <t xml:space="preserve">% of cycle</t>
  </si>
  <si>
    <t xml:space="preserve">Treatment (intake to MMI)</t>
  </si>
  <si>
    <t xml:space="preserve">Client / medical</t>
  </si>
  <si>
    <t xml:space="preserve">Records &amp; bills wait</t>
  </si>
  <si>
    <t xml:space="preserve">EXTERNAL - providers</t>
  </si>
  <si>
    <t xml:space="preserve">Demand preparation</t>
  </si>
  <si>
    <t xml:space="preserve">CONTROLLABLE - firm</t>
  </si>
  <si>
    <t xml:space="preserve">Adjuster first-offer wait</t>
  </si>
  <si>
    <t xml:space="preserve">EXTERNAL - carrier</t>
  </si>
  <si>
    <t xml:space="preserve">Negotiation</t>
  </si>
  <si>
    <t xml:space="preserve">Strategic / shared</t>
  </si>
  <si>
    <t xml:space="preserve">Settlement to closing</t>
  </si>
  <si>
    <t xml:space="preserve">Total</t>
  </si>
  <si>
    <t xml:space="preserve">Case manager scorecard (firm-controllable efficiency + lien results)</t>
  </si>
  <si>
    <t xml:space="preserve">Case manager</t>
  </si>
  <si>
    <t xml:space="preserve">Cases</t>
  </si>
  <si>
    <t xml:space="preserve">Avg demand prep (d)</t>
  </si>
  <si>
    <t xml:space="preserve">Avg settlement-to-closing (d)</t>
  </si>
  <si>
    <t xml:space="preserve">Avg controllable days</t>
  </si>
  <si>
    <t xml:space="preserve">Lien reduction % ($-weighted)</t>
  </si>
  <si>
    <t xml:space="preserve">Lien savings ($)</t>
  </si>
  <si>
    <t xml:space="preserve">Attorney fees ($)</t>
  </si>
  <si>
    <t xml:space="preserve">Alicia Reyes</t>
  </si>
  <si>
    <t xml:space="preserve">Daniel Kowalski</t>
  </si>
  <si>
    <t xml:space="preserve">Jennifer Ortiz</t>
  </si>
  <si>
    <t xml:space="preserve">Marcus Bell</t>
  </si>
  <si>
    <t xml:space="preserve">Priya Nair</t>
  </si>
  <si>
    <t xml:space="preserve">Carrier response time (external wait) - ILLUSTRATIVE synthetic data</t>
  </si>
  <si>
    <t xml:space="preserve">Insurance company</t>
  </si>
  <si>
    <t xml:space="preserve">Cases w/ first offer</t>
  </si>
  <si>
    <t xml:space="preserve">Avg days demand to offer</t>
  </si>
  <si>
    <t xml:space="preserve">% offers &gt; 45 days</t>
  </si>
  <si>
    <t xml:space="preserve">Avg settlement ($)</t>
  </si>
  <si>
    <t xml:space="preserve">Allstate</t>
  </si>
  <si>
    <t xml:space="preserve">GEICO</t>
  </si>
  <si>
    <t xml:space="preserve">Liberty Mutual</t>
  </si>
  <si>
    <t xml:space="preserve">Progressive</t>
  </si>
  <si>
    <t xml:space="preserve">State Farm</t>
  </si>
  <si>
    <t xml:space="preserve">Injury type economics</t>
  </si>
  <si>
    <t xml:space="preserve">Injury type</t>
  </si>
  <si>
    <t xml:space="preserve">Avg billed ($)</t>
  </si>
  <si>
    <t xml:space="preserve">Avg cycle (days)</t>
  </si>
  <si>
    <t xml:space="preserve">% litigated (40% fee)</t>
  </si>
  <si>
    <t xml:space="preserve">Motor Vehicle Accident</t>
  </si>
  <si>
    <t xml:space="preserve">Slip &amp; Fall</t>
  </si>
  <si>
    <t xml:space="preserve">Pedestrian</t>
  </si>
  <si>
    <t xml:space="preserve">Dog Bite</t>
  </si>
  <si>
    <t xml:space="preserve">case_id</t>
  </si>
  <si>
    <t xml:space="preserve">client_name</t>
  </si>
  <si>
    <t xml:space="preserve">case_manager</t>
  </si>
  <si>
    <t xml:space="preserve">insurance_company</t>
  </si>
  <si>
    <t xml:space="preserve">current_stage</t>
  </si>
  <si>
    <t xml:space="preserve">stagnation_type</t>
  </si>
  <si>
    <t xml:space="preserve">days_without_progress</t>
  </si>
  <si>
    <t xml:space="preserve">PI-2025-093</t>
  </si>
  <si>
    <t xml:space="preserve">Brian Lewis</t>
  </si>
  <si>
    <t xml:space="preserve">4. Awaiting Adjuster Offer</t>
  </si>
  <si>
    <t xml:space="preserve">Adjuster Offer</t>
  </si>
  <si>
    <t xml:space="preserve">PI-2026-006</t>
  </si>
  <si>
    <t xml:space="preserve">David Williams</t>
  </si>
  <si>
    <t xml:space="preserve">2. Awaiting Records/Bills</t>
  </si>
  <si>
    <t xml:space="preserve">Records/Bills</t>
  </si>
  <si>
    <t xml:space="preserve">PI-2025-084</t>
  </si>
  <si>
    <t xml:space="preserve">Brittany Garcia</t>
  </si>
  <si>
    <t xml:space="preserve">Records + Adjuster</t>
  </si>
  <si>
    <t xml:space="preserve">PI-2025-069</t>
  </si>
  <si>
    <t xml:space="preserve">Rachel Ramirez</t>
  </si>
  <si>
    <t xml:space="preserve">PI-2026-010</t>
  </si>
  <si>
    <t xml:space="preserve">Anthony Jackson</t>
  </si>
  <si>
    <t xml:space="preserve">Open cases with &gt; 45 days waiting on records/bills or an adjuster's first offer, as of 2026-10-13.</t>
  </si>
  <si>
    <t xml:space="preserve">injury_type</t>
  </si>
  <si>
    <t xml:space="preserve">case_status</t>
  </si>
  <si>
    <t xml:space="preserve">total_medical_bills</t>
  </si>
  <si>
    <t xml:space="preserve">settlement_amount</t>
  </si>
  <si>
    <t xml:space="preserve">attorney_fee_pct</t>
  </si>
  <si>
    <t xml:space="preserve">original_liens_amount</t>
  </si>
  <si>
    <t xml:space="preserve">final_reduced_liens_amount</t>
  </si>
  <si>
    <t xml:space="preserve">intake_date</t>
  </si>
  <si>
    <t xml:space="preserve">treatment_completion_date</t>
  </si>
  <si>
    <t xml:space="preserve">medical_records_received_date</t>
  </si>
  <si>
    <t xml:space="preserve">demand_sent_date</t>
  </si>
  <si>
    <t xml:space="preserve">first_offer_date</t>
  </si>
  <si>
    <t xml:space="preserve">settlement_accepted_date</t>
  </si>
  <si>
    <t xml:space="preserve">closing_statement_date</t>
  </si>
  <si>
    <t xml:space="preserve">treatment_days</t>
  </si>
  <si>
    <t xml:space="preserve">records_wait_days</t>
  </si>
  <si>
    <t xml:space="preserve">demand_prep_days</t>
  </si>
  <si>
    <t xml:space="preserve">offer_wait_days</t>
  </si>
  <si>
    <t xml:space="preserve">negotiation_days</t>
  </si>
  <si>
    <t xml:space="preserve">closing_days</t>
  </si>
  <si>
    <t xml:space="preserve">intake_to_demand_days</t>
  </si>
  <si>
    <t xml:space="preserve">total_cycle_days</t>
  </si>
  <si>
    <t xml:space="preserve">controllable_days</t>
  </si>
  <si>
    <t xml:space="preserve">external_wait_days</t>
  </si>
  <si>
    <t xml:space="preserve">lien_reduction_savings</t>
  </si>
  <si>
    <t xml:space="preserve">lien_reduction_pct</t>
  </si>
  <si>
    <t xml:space="preserve">net_attorney_fee</t>
  </si>
  <si>
    <t xml:space="preserve">client_net_recovery_before_costs</t>
  </si>
  <si>
    <t xml:space="preserve">stagnant_case_flag</t>
  </si>
  <si>
    <t xml:space="preserve">active_stagnation_alert</t>
  </si>
  <si>
    <t xml:space="preserve">PI-2024-001</t>
  </si>
  <si>
    <t xml:space="preserve">Linda Lewis</t>
  </si>
  <si>
    <t xml:space="preserve">Closed</t>
  </si>
  <si>
    <t xml:space="preserve">7. Closed</t>
  </si>
  <si>
    <t xml:space="preserve">Yes</t>
  </si>
  <si>
    <t xml:space="preserve">No</t>
  </si>
  <si>
    <t xml:space="preserve">PI-2024-002</t>
  </si>
  <si>
    <t xml:space="preserve">David Thomas</t>
  </si>
  <si>
    <t xml:space="preserve">PI-2024-003</t>
  </si>
  <si>
    <t xml:space="preserve">Ashley Clark</t>
  </si>
  <si>
    <t xml:space="preserve">PI-2024-004</t>
  </si>
  <si>
    <t xml:space="preserve">Keisha Lewis</t>
  </si>
  <si>
    <t xml:space="preserve">PI-2024-005</t>
  </si>
  <si>
    <t xml:space="preserve">Lauren Sanchez</t>
  </si>
  <si>
    <t xml:space="preserve">PI-2024-006</t>
  </si>
  <si>
    <t xml:space="preserve">Sofia White</t>
  </si>
  <si>
    <t xml:space="preserve">PI-2024-007</t>
  </si>
  <si>
    <t xml:space="preserve">Anthony Thomas</t>
  </si>
  <si>
    <t xml:space="preserve">PI-2024-008</t>
  </si>
  <si>
    <t xml:space="preserve">Sofia Garcia</t>
  </si>
  <si>
    <t xml:space="preserve">PI-2024-009</t>
  </si>
  <si>
    <t xml:space="preserve">Robert Lopez</t>
  </si>
  <si>
    <t xml:space="preserve">PI-2024-010</t>
  </si>
  <si>
    <t xml:space="preserve">Patricia Harris</t>
  </si>
  <si>
    <t xml:space="preserve">PI-2024-011</t>
  </si>
  <si>
    <t xml:space="preserve">Anthony Reyes</t>
  </si>
  <si>
    <t xml:space="preserve">PI-2024-012</t>
  </si>
  <si>
    <t xml:space="preserve">Sofia Taylor</t>
  </si>
  <si>
    <t xml:space="preserve">PI-2024-013</t>
  </si>
  <si>
    <t xml:space="preserve">Jose Lewis</t>
  </si>
  <si>
    <t xml:space="preserve">PI-2024-014</t>
  </si>
  <si>
    <t xml:space="preserve">Jose Perez</t>
  </si>
  <si>
    <t xml:space="preserve">PI-2024-015</t>
  </si>
  <si>
    <t xml:space="preserve">Eric Moore</t>
  </si>
  <si>
    <t xml:space="preserve">PI-2024-016</t>
  </si>
  <si>
    <t xml:space="preserve">Monica Torres</t>
  </si>
  <si>
    <t xml:space="preserve">PI-2024-017</t>
  </si>
  <si>
    <t xml:space="preserve">Andre Walker</t>
  </si>
  <si>
    <t xml:space="preserve">PI-2024-018</t>
  </si>
  <si>
    <t xml:space="preserve">Angela Perez</t>
  </si>
  <si>
    <t xml:space="preserve">PI-2024-019</t>
  </si>
  <si>
    <t xml:space="preserve">Kevin Gonzalez</t>
  </si>
  <si>
    <t xml:space="preserve">PI-2024-020</t>
  </si>
  <si>
    <t xml:space="preserve">James Clark</t>
  </si>
  <si>
    <t xml:space="preserve">PI-2024-021</t>
  </si>
  <si>
    <t xml:space="preserve">Anthony Johnson</t>
  </si>
  <si>
    <t xml:space="preserve">PI-2024-022</t>
  </si>
  <si>
    <t xml:space="preserve">Keisha Hernandez</t>
  </si>
  <si>
    <t xml:space="preserve">PI-2024-023</t>
  </si>
  <si>
    <t xml:space="preserve">Sofia Lewis</t>
  </si>
  <si>
    <t xml:space="preserve">PI-2024-024</t>
  </si>
  <si>
    <t xml:space="preserve">Luis Perez</t>
  </si>
  <si>
    <t xml:space="preserve">PI-2024-025</t>
  </si>
  <si>
    <t xml:space="preserve">Carlos Sanchez</t>
  </si>
  <si>
    <t xml:space="preserve">PI-2024-026</t>
  </si>
  <si>
    <t xml:space="preserve">Jose Walker</t>
  </si>
  <si>
    <t xml:space="preserve">PI-2024-027</t>
  </si>
  <si>
    <t xml:space="preserve">Keisha Wilson</t>
  </si>
  <si>
    <t xml:space="preserve">PI-2024-028</t>
  </si>
  <si>
    <t xml:space="preserve">Jennifer Martinez</t>
  </si>
  <si>
    <t xml:space="preserve">PI-2024-029</t>
  </si>
  <si>
    <t xml:space="preserve">Jennifer Johnson</t>
  </si>
  <si>
    <t xml:space="preserve">PI-2024-030</t>
  </si>
  <si>
    <t xml:space="preserve">Marcus Gonzalez</t>
  </si>
  <si>
    <t xml:space="preserve">PI-2024-031</t>
  </si>
  <si>
    <t xml:space="preserve">Andre Gonzalez</t>
  </si>
  <si>
    <t xml:space="preserve">PI-2024-032</t>
  </si>
  <si>
    <t xml:space="preserve">Monica Clark</t>
  </si>
  <si>
    <t xml:space="preserve">PI-2024-033</t>
  </si>
  <si>
    <t xml:space="preserve">Stephanie Rodriguez</t>
  </si>
  <si>
    <t xml:space="preserve">PI-2024-034</t>
  </si>
  <si>
    <t xml:space="preserve">Tiffany Ramirez</t>
  </si>
  <si>
    <t xml:space="preserve">PI-2024-035</t>
  </si>
  <si>
    <t xml:space="preserve">Robert Rodriguez</t>
  </si>
  <si>
    <t xml:space="preserve">PI-2024-036</t>
  </si>
  <si>
    <t xml:space="preserve">Ashley Jackson</t>
  </si>
  <si>
    <t xml:space="preserve">PI-2024-037</t>
  </si>
  <si>
    <t xml:space="preserve">Lauren Clark</t>
  </si>
  <si>
    <t xml:space="preserve">PI-2024-038</t>
  </si>
  <si>
    <t xml:space="preserve">Jose Taylor</t>
  </si>
  <si>
    <t xml:space="preserve">PI-2024-039</t>
  </si>
  <si>
    <t xml:space="preserve">Patricia Lewis</t>
  </si>
  <si>
    <t xml:space="preserve">PI-2024-040</t>
  </si>
  <si>
    <t xml:space="preserve">Kevin Jackson</t>
  </si>
  <si>
    <t xml:space="preserve">PI-2024-041</t>
  </si>
  <si>
    <t xml:space="preserve">Jose Jackson</t>
  </si>
  <si>
    <t xml:space="preserve">PI-2024-042</t>
  </si>
  <si>
    <t xml:space="preserve">Angela White</t>
  </si>
  <si>
    <t xml:space="preserve">PI-2024-043</t>
  </si>
  <si>
    <t xml:space="preserve">Patricia Gonzalez</t>
  </si>
  <si>
    <t xml:space="preserve">PI-2024-044</t>
  </si>
  <si>
    <t xml:space="preserve">Brian Walker</t>
  </si>
  <si>
    <t xml:space="preserve">PI-2024-045</t>
  </si>
  <si>
    <t xml:space="preserve">Patricia Jackson</t>
  </si>
  <si>
    <t xml:space="preserve">PI-2024-046</t>
  </si>
  <si>
    <t xml:space="preserve">Rachel Flores</t>
  </si>
  <si>
    <t xml:space="preserve">PI-2024-047</t>
  </si>
  <si>
    <t xml:space="preserve">Angela Gonzalez</t>
  </si>
  <si>
    <t xml:space="preserve">PI-2024-048</t>
  </si>
  <si>
    <t xml:space="preserve">Brian Wilson</t>
  </si>
  <si>
    <t xml:space="preserve">PI-2024-049</t>
  </si>
  <si>
    <t xml:space="preserve">Rachel Torres</t>
  </si>
  <si>
    <t xml:space="preserve">PI-2024-050</t>
  </si>
  <si>
    <t xml:space="preserve">Jose Brown</t>
  </si>
  <si>
    <t xml:space="preserve">PI-2024-051</t>
  </si>
  <si>
    <t xml:space="preserve">Carlos Taylor</t>
  </si>
  <si>
    <t xml:space="preserve">PI-2024-052</t>
  </si>
  <si>
    <t xml:space="preserve">Ashley Nguyen</t>
  </si>
  <si>
    <t xml:space="preserve">PI-2024-053</t>
  </si>
  <si>
    <t xml:space="preserve">Victor Moore</t>
  </si>
  <si>
    <t xml:space="preserve">PI-2024-054</t>
  </si>
  <si>
    <t xml:space="preserve">Keisha Rodriguez</t>
  </si>
  <si>
    <t xml:space="preserve">PI-2024-055</t>
  </si>
  <si>
    <t xml:space="preserve">Rachel Brown</t>
  </si>
  <si>
    <t xml:space="preserve">PI-2024-056</t>
  </si>
  <si>
    <t xml:space="preserve">David Taylor</t>
  </si>
  <si>
    <t xml:space="preserve">PI-2024-057</t>
  </si>
  <si>
    <t xml:space="preserve">Eric Martinez</t>
  </si>
  <si>
    <t xml:space="preserve">PI-2024-058</t>
  </si>
  <si>
    <t xml:space="preserve">Ashley Williams</t>
  </si>
  <si>
    <t xml:space="preserve">PI-2024-059</t>
  </si>
  <si>
    <t xml:space="preserve">Carlos Ramirez</t>
  </si>
  <si>
    <t xml:space="preserve">PI-2024-060</t>
  </si>
  <si>
    <t xml:space="preserve">Brittany Miller</t>
  </si>
  <si>
    <t xml:space="preserve">PI-2024-061</t>
  </si>
  <si>
    <t xml:space="preserve">Brittany Ramirez</t>
  </si>
  <si>
    <t xml:space="preserve">PI-2024-062</t>
  </si>
  <si>
    <t xml:space="preserve">Daniel Clark</t>
  </si>
  <si>
    <t xml:space="preserve">PI-2024-063</t>
  </si>
  <si>
    <t xml:space="preserve">Maria Johnson</t>
  </si>
  <si>
    <t xml:space="preserve">PI-2024-064</t>
  </si>
  <si>
    <t xml:space="preserve">Lauren Martinez</t>
  </si>
  <si>
    <t xml:space="preserve">PI-2024-065</t>
  </si>
  <si>
    <t xml:space="preserve">Maria Sanchez</t>
  </si>
  <si>
    <t xml:space="preserve">PI-2024-066</t>
  </si>
  <si>
    <t xml:space="preserve">James Flores</t>
  </si>
  <si>
    <t xml:space="preserve">PI-2024-067</t>
  </si>
  <si>
    <t xml:space="preserve">Brian Reyes</t>
  </si>
  <si>
    <t xml:space="preserve">PI-2024-068</t>
  </si>
  <si>
    <t xml:space="preserve">Kevin Garcia</t>
  </si>
  <si>
    <t xml:space="preserve">PI-2024-069</t>
  </si>
  <si>
    <t xml:space="preserve">Daniel Gonzalez</t>
  </si>
  <si>
    <t xml:space="preserve">PI-2024-070</t>
  </si>
  <si>
    <t xml:space="preserve">Eric Flores</t>
  </si>
  <si>
    <t xml:space="preserve">PI-2024-071</t>
  </si>
  <si>
    <t xml:space="preserve">Sofia Hernandez</t>
  </si>
  <si>
    <t xml:space="preserve">PI-2024-072</t>
  </si>
  <si>
    <t xml:space="preserve">Angela Moore</t>
  </si>
  <si>
    <t xml:space="preserve">PI-2024-073</t>
  </si>
  <si>
    <t xml:space="preserve">Robert Gonzalez</t>
  </si>
  <si>
    <t xml:space="preserve">PI-2024-074</t>
  </si>
  <si>
    <t xml:space="preserve">Jennifer Nguyen</t>
  </si>
  <si>
    <t xml:space="preserve">Open</t>
  </si>
  <si>
    <t xml:space="preserve">5. Negotiation</t>
  </si>
  <si>
    <t xml:space="preserve">PI-2024-075</t>
  </si>
  <si>
    <t xml:space="preserve">Keisha Reyes</t>
  </si>
  <si>
    <t xml:space="preserve">PI-2024-076</t>
  </si>
  <si>
    <t xml:space="preserve">Kevin Moore</t>
  </si>
  <si>
    <t xml:space="preserve">PI-2024-077</t>
  </si>
  <si>
    <t xml:space="preserve">Patricia Williams</t>
  </si>
  <si>
    <t xml:space="preserve">PI-2024-078</t>
  </si>
  <si>
    <t xml:space="preserve">Robert Rivera</t>
  </si>
  <si>
    <t xml:space="preserve">PI-2024-079</t>
  </si>
  <si>
    <t xml:space="preserve">Linda Wilson</t>
  </si>
  <si>
    <t xml:space="preserve">PI-2024-080</t>
  </si>
  <si>
    <t xml:space="preserve">Sofia Clark</t>
  </si>
  <si>
    <t xml:space="preserve">PI-2024-081</t>
  </si>
  <si>
    <t xml:space="preserve">Stephanie Reyes</t>
  </si>
  <si>
    <t xml:space="preserve">PI-2024-082</t>
  </si>
  <si>
    <t xml:space="preserve">Tiffany Williams</t>
  </si>
  <si>
    <t xml:space="preserve">PI-2024-083</t>
  </si>
  <si>
    <t xml:space="preserve">Nicole Rivera</t>
  </si>
  <si>
    <t xml:space="preserve">PI-2024-084</t>
  </si>
  <si>
    <t xml:space="preserve">James Gonzalez</t>
  </si>
  <si>
    <t xml:space="preserve">PI-2024-085</t>
  </si>
  <si>
    <t xml:space="preserve">Marcus Reyes</t>
  </si>
  <si>
    <t xml:space="preserve">PI-2024-086</t>
  </si>
  <si>
    <t xml:space="preserve">Monica Reyes</t>
  </si>
  <si>
    <t xml:space="preserve">PI-2024-087</t>
  </si>
  <si>
    <t xml:space="preserve">Patricia Reyes</t>
  </si>
  <si>
    <t xml:space="preserve">PI-2024-088</t>
  </si>
  <si>
    <t xml:space="preserve">Angela Lewis</t>
  </si>
  <si>
    <t xml:space="preserve">PI-2024-089</t>
  </si>
  <si>
    <t xml:space="preserve">Jose Martinez</t>
  </si>
  <si>
    <t xml:space="preserve">PI-2024-090</t>
  </si>
  <si>
    <t xml:space="preserve">Keisha Perez</t>
  </si>
  <si>
    <t xml:space="preserve">PI-2024-091</t>
  </si>
  <si>
    <t xml:space="preserve">Anthony Perez</t>
  </si>
  <si>
    <t xml:space="preserve">PI-2025-001</t>
  </si>
  <si>
    <t xml:space="preserve">Victor Perez</t>
  </si>
  <si>
    <t xml:space="preserve">PI-2025-002</t>
  </si>
  <si>
    <t xml:space="preserve">Jose Rodriguez</t>
  </si>
  <si>
    <t xml:space="preserve">PI-2025-003</t>
  </si>
  <si>
    <t xml:space="preserve">Marcus Diaz</t>
  </si>
  <si>
    <t xml:space="preserve">PI-2025-004</t>
  </si>
  <si>
    <t xml:space="preserve">Linda Taylor</t>
  </si>
  <si>
    <t xml:space="preserve">PI-2025-005</t>
  </si>
  <si>
    <t xml:space="preserve">Andre Lopez</t>
  </si>
  <si>
    <t xml:space="preserve">PI-2025-006</t>
  </si>
  <si>
    <t xml:space="preserve">Daniel Perez</t>
  </si>
  <si>
    <t xml:space="preserve">PI-2025-007</t>
  </si>
  <si>
    <t xml:space="preserve">Angela Rodriguez</t>
  </si>
  <si>
    <t xml:space="preserve">PI-2025-008</t>
  </si>
  <si>
    <t xml:space="preserve">Brian Thomas</t>
  </si>
  <si>
    <t xml:space="preserve">PI-2025-009</t>
  </si>
  <si>
    <t xml:space="preserve">David Rivera</t>
  </si>
  <si>
    <t xml:space="preserve">PI-2025-010</t>
  </si>
  <si>
    <t xml:space="preserve">Linda Reyes</t>
  </si>
  <si>
    <t xml:space="preserve">PI-2025-011</t>
  </si>
  <si>
    <t xml:space="preserve">Maria Rodriguez</t>
  </si>
  <si>
    <t xml:space="preserve">PI-2025-012</t>
  </si>
  <si>
    <t xml:space="preserve">Nicole Thomas</t>
  </si>
  <si>
    <t xml:space="preserve">PI-2025-013</t>
  </si>
  <si>
    <t xml:space="preserve">Ashley Ramirez</t>
  </si>
  <si>
    <t xml:space="preserve">PI-2025-014</t>
  </si>
  <si>
    <t xml:space="preserve">Marcus Ramirez</t>
  </si>
  <si>
    <t xml:space="preserve">PI-2025-015</t>
  </si>
  <si>
    <t xml:space="preserve">Eric Lopez</t>
  </si>
  <si>
    <t xml:space="preserve">PI-2025-016</t>
  </si>
  <si>
    <t xml:space="preserve">Brittany Gonzalez</t>
  </si>
  <si>
    <t xml:space="preserve">6. Closing / Disbursement</t>
  </si>
  <si>
    <t xml:space="preserve">PI-2025-017</t>
  </si>
  <si>
    <t xml:space="preserve">Nicole Clark</t>
  </si>
  <si>
    <t xml:space="preserve">PI-2025-018</t>
  </si>
  <si>
    <t xml:space="preserve">Robert Thomas</t>
  </si>
  <si>
    <t xml:space="preserve">PI-2025-019</t>
  </si>
  <si>
    <t xml:space="preserve">Eric Johnson</t>
  </si>
  <si>
    <t xml:space="preserve">PI-2025-020</t>
  </si>
  <si>
    <t xml:space="preserve">Patricia Davis</t>
  </si>
  <si>
    <t xml:space="preserve">PI-2025-021</t>
  </si>
  <si>
    <t xml:space="preserve">Daniel Davis</t>
  </si>
  <si>
    <t xml:space="preserve">PI-2025-022</t>
  </si>
  <si>
    <t xml:space="preserve">Sofia Brown</t>
  </si>
  <si>
    <t xml:space="preserve">PI-2025-023</t>
  </si>
  <si>
    <t xml:space="preserve">James Perez</t>
  </si>
  <si>
    <t xml:space="preserve">PI-2025-024</t>
  </si>
  <si>
    <t xml:space="preserve">Anthony Moore</t>
  </si>
  <si>
    <t xml:space="preserve">PI-2025-025</t>
  </si>
  <si>
    <t xml:space="preserve">Ashley Wilson</t>
  </si>
  <si>
    <t xml:space="preserve">PI-2025-026</t>
  </si>
  <si>
    <t xml:space="preserve">Michael White</t>
  </si>
  <si>
    <t xml:space="preserve">PI-2025-027</t>
  </si>
  <si>
    <t xml:space="preserve">Lauren Taylor</t>
  </si>
  <si>
    <t xml:space="preserve">PI-2025-028</t>
  </si>
  <si>
    <t xml:space="preserve">Kevin White</t>
  </si>
  <si>
    <t xml:space="preserve">PI-2025-029</t>
  </si>
  <si>
    <t xml:space="preserve">Tiffany Martinez</t>
  </si>
  <si>
    <t xml:space="preserve">PI-2025-030</t>
  </si>
  <si>
    <t xml:space="preserve">Nicole Williams</t>
  </si>
  <si>
    <t xml:space="preserve">PI-2025-031</t>
  </si>
  <si>
    <t xml:space="preserve">Patricia Martinez</t>
  </si>
  <si>
    <t xml:space="preserve">PI-2025-032</t>
  </si>
  <si>
    <t xml:space="preserve">Jose Diaz</t>
  </si>
  <si>
    <t xml:space="preserve">PI-2025-033</t>
  </si>
  <si>
    <t xml:space="preserve">Maria Harris</t>
  </si>
  <si>
    <t xml:space="preserve">PI-2025-034</t>
  </si>
  <si>
    <t xml:space="preserve">Keisha Diaz</t>
  </si>
  <si>
    <t xml:space="preserve">PI-2025-035</t>
  </si>
  <si>
    <t xml:space="preserve">Michael Reyes</t>
  </si>
  <si>
    <t xml:space="preserve">PI-2025-036</t>
  </si>
  <si>
    <t xml:space="preserve">Jennifer Garcia</t>
  </si>
  <si>
    <t xml:space="preserve">PI-2025-037</t>
  </si>
  <si>
    <t xml:space="preserve">Patricia Miller</t>
  </si>
  <si>
    <t xml:space="preserve">PI-2025-038</t>
  </si>
  <si>
    <t xml:space="preserve">Monica Martinez</t>
  </si>
  <si>
    <t xml:space="preserve">PI-2025-039</t>
  </si>
  <si>
    <t xml:space="preserve">Brittany Taylor</t>
  </si>
  <si>
    <t xml:space="preserve">PI-2025-040</t>
  </si>
  <si>
    <t xml:space="preserve">Rachel Diaz</t>
  </si>
  <si>
    <t xml:space="preserve">PI-2025-041</t>
  </si>
  <si>
    <t xml:space="preserve">Stephanie Sanchez</t>
  </si>
  <si>
    <t xml:space="preserve">PI-2025-042</t>
  </si>
  <si>
    <t xml:space="preserve">Anthony Lopez</t>
  </si>
  <si>
    <t xml:space="preserve">PI-2025-043</t>
  </si>
  <si>
    <t xml:space="preserve">Jose Wilson</t>
  </si>
  <si>
    <t xml:space="preserve">PI-2025-044</t>
  </si>
  <si>
    <t xml:space="preserve">David Jackson</t>
  </si>
  <si>
    <t xml:space="preserve">PI-2025-045</t>
  </si>
  <si>
    <t xml:space="preserve">Nicole Wilson</t>
  </si>
  <si>
    <t xml:space="preserve">PI-2025-046</t>
  </si>
  <si>
    <t xml:space="preserve">Patricia Rodriguez</t>
  </si>
  <si>
    <t xml:space="preserve">PI-2025-047</t>
  </si>
  <si>
    <t xml:space="preserve">Keisha Torres</t>
  </si>
  <si>
    <t xml:space="preserve">PI-2025-048</t>
  </si>
  <si>
    <t xml:space="preserve">Sofia Williams</t>
  </si>
  <si>
    <t xml:space="preserve">PI-2025-049</t>
  </si>
  <si>
    <t xml:space="preserve">Anthony Davis</t>
  </si>
  <si>
    <t xml:space="preserve">PI-2025-050</t>
  </si>
  <si>
    <t xml:space="preserve">Patricia Hernandez</t>
  </si>
  <si>
    <t xml:space="preserve">PI-2025-051</t>
  </si>
  <si>
    <t xml:space="preserve">Kevin Diaz</t>
  </si>
  <si>
    <t xml:space="preserve">PI-2025-052</t>
  </si>
  <si>
    <t xml:space="preserve">Sofia Rivera</t>
  </si>
  <si>
    <t xml:space="preserve">PI-2025-053</t>
  </si>
  <si>
    <t xml:space="preserve">Nicole Hernandez</t>
  </si>
  <si>
    <t xml:space="preserve">PI-2025-054</t>
  </si>
  <si>
    <t xml:space="preserve">Jennifer Brown</t>
  </si>
  <si>
    <t xml:space="preserve">PI-2025-055</t>
  </si>
  <si>
    <t xml:space="preserve">Patricia Brown</t>
  </si>
  <si>
    <t xml:space="preserve">PI-2025-056</t>
  </si>
  <si>
    <t xml:space="preserve">James Torres</t>
  </si>
  <si>
    <t xml:space="preserve">PI-2025-057</t>
  </si>
  <si>
    <t xml:space="preserve">Victor Flores</t>
  </si>
  <si>
    <t xml:space="preserve">PI-2025-058</t>
  </si>
  <si>
    <t xml:space="preserve">Victor Ramirez</t>
  </si>
  <si>
    <t xml:space="preserve">PI-2025-059</t>
  </si>
  <si>
    <t xml:space="preserve">Ashley Davis</t>
  </si>
  <si>
    <t xml:space="preserve">PI-2025-060</t>
  </si>
  <si>
    <t xml:space="preserve">Lauren Brown</t>
  </si>
  <si>
    <t xml:space="preserve">PI-2025-061</t>
  </si>
  <si>
    <t xml:space="preserve">Monica Hernandez</t>
  </si>
  <si>
    <t xml:space="preserve">PI-2025-062</t>
  </si>
  <si>
    <t xml:space="preserve">Jennifer Jackson</t>
  </si>
  <si>
    <t xml:space="preserve">PI-2025-063</t>
  </si>
  <si>
    <t xml:space="preserve">Victor Walker</t>
  </si>
  <si>
    <t xml:space="preserve">PI-2025-064</t>
  </si>
  <si>
    <t xml:space="preserve">Luis Brown</t>
  </si>
  <si>
    <t xml:space="preserve">PI-2025-065</t>
  </si>
  <si>
    <t xml:space="preserve">Keisha Miller</t>
  </si>
  <si>
    <t xml:space="preserve">PI-2025-066</t>
  </si>
  <si>
    <t xml:space="preserve">Luis Moore</t>
  </si>
  <si>
    <t xml:space="preserve">PI-2025-067</t>
  </si>
  <si>
    <t xml:space="preserve">Monica Lopez</t>
  </si>
  <si>
    <t xml:space="preserve">PI-2025-068</t>
  </si>
  <si>
    <t xml:space="preserve">Victor White</t>
  </si>
  <si>
    <t xml:space="preserve">PI-2025-070</t>
  </si>
  <si>
    <t xml:space="preserve">Eric White</t>
  </si>
  <si>
    <t xml:space="preserve">PI-2025-071</t>
  </si>
  <si>
    <t xml:space="preserve">Daniel Johnson</t>
  </si>
  <si>
    <t xml:space="preserve">PI-2025-072</t>
  </si>
  <si>
    <t xml:space="preserve">James Brown</t>
  </si>
  <si>
    <t xml:space="preserve">PI-2025-073</t>
  </si>
  <si>
    <t xml:space="preserve">Luis Taylor</t>
  </si>
  <si>
    <t xml:space="preserve">PI-2025-074</t>
  </si>
  <si>
    <t xml:space="preserve">Angela Clark</t>
  </si>
  <si>
    <t xml:space="preserve">PI-2025-075</t>
  </si>
  <si>
    <t xml:space="preserve">Linda Flores</t>
  </si>
  <si>
    <t xml:space="preserve">PI-2025-076</t>
  </si>
  <si>
    <t xml:space="preserve">Maria Clark</t>
  </si>
  <si>
    <t xml:space="preserve">PI-2025-077</t>
  </si>
  <si>
    <t xml:space="preserve">Marcus Martinez</t>
  </si>
  <si>
    <t xml:space="preserve">PI-2025-078</t>
  </si>
  <si>
    <t xml:space="preserve">Marcus Walker</t>
  </si>
  <si>
    <t xml:space="preserve">PI-2025-079</t>
  </si>
  <si>
    <t xml:space="preserve">Stephanie Rivera</t>
  </si>
  <si>
    <t xml:space="preserve">PI-2025-080</t>
  </si>
  <si>
    <t xml:space="preserve">Robert Martinez</t>
  </si>
  <si>
    <t xml:space="preserve">PI-2025-081</t>
  </si>
  <si>
    <t xml:space="preserve">Anthony Miller</t>
  </si>
  <si>
    <t xml:space="preserve">PI-2025-082</t>
  </si>
  <si>
    <t xml:space="preserve">Lauren Flores</t>
  </si>
  <si>
    <t xml:space="preserve">PI-2025-083</t>
  </si>
  <si>
    <t xml:space="preserve">Eric Rodriguez</t>
  </si>
  <si>
    <t xml:space="preserve">PI-2025-085</t>
  </si>
  <si>
    <t xml:space="preserve">Jennifer Williams</t>
  </si>
  <si>
    <t xml:space="preserve">PI-2025-086</t>
  </si>
  <si>
    <t xml:space="preserve">Eric Perez</t>
  </si>
  <si>
    <t xml:space="preserve">PI-2025-087</t>
  </si>
  <si>
    <t xml:space="preserve">Marcus Nguyen</t>
  </si>
  <si>
    <t xml:space="preserve">PI-2025-088</t>
  </si>
  <si>
    <t xml:space="preserve">Victor Gonzalez</t>
  </si>
  <si>
    <t xml:space="preserve">PI-2025-089</t>
  </si>
  <si>
    <t xml:space="preserve">Daniel Martinez</t>
  </si>
  <si>
    <t xml:space="preserve">PI-2025-090</t>
  </si>
  <si>
    <t xml:space="preserve">Linda Walker</t>
  </si>
  <si>
    <t xml:space="preserve">PI-2025-091</t>
  </si>
  <si>
    <t xml:space="preserve">Michael Perez</t>
  </si>
  <si>
    <t xml:space="preserve">PI-2025-092</t>
  </si>
  <si>
    <t xml:space="preserve">Maria Brown</t>
  </si>
  <si>
    <t xml:space="preserve">PI-2025-094</t>
  </si>
  <si>
    <t xml:space="preserve">Rachel Wilson</t>
  </si>
  <si>
    <t xml:space="preserve">PI-2025-095</t>
  </si>
  <si>
    <t xml:space="preserve">Ashley Diaz</t>
  </si>
  <si>
    <t xml:space="preserve">PI-2025-096</t>
  </si>
  <si>
    <t xml:space="preserve">Jose Nguyen</t>
  </si>
  <si>
    <t xml:space="preserve">PI-2026-001</t>
  </si>
  <si>
    <t xml:space="preserve">Nicole Lopez</t>
  </si>
  <si>
    <t xml:space="preserve">PI-2026-002</t>
  </si>
  <si>
    <t xml:space="preserve">Jose Clark</t>
  </si>
  <si>
    <t xml:space="preserve">PI-2026-003</t>
  </si>
  <si>
    <t xml:space="preserve">Michael Lewis</t>
  </si>
  <si>
    <t xml:space="preserve">PI-2026-004</t>
  </si>
  <si>
    <t xml:space="preserve">Anthony Nguyen</t>
  </si>
  <si>
    <t xml:space="preserve">PI-2026-005</t>
  </si>
  <si>
    <t xml:space="preserve">Anthony Rodriguez</t>
  </si>
  <si>
    <t xml:space="preserve">PI-2026-007</t>
  </si>
  <si>
    <t xml:space="preserve">Monica Walker</t>
  </si>
  <si>
    <t xml:space="preserve">PI-2026-008</t>
  </si>
  <si>
    <t xml:space="preserve">Ashley White</t>
  </si>
  <si>
    <t xml:space="preserve">PI-2026-009</t>
  </si>
  <si>
    <t xml:space="preserve">Keisha Ramirez</t>
  </si>
  <si>
    <t xml:space="preserve">PI-2026-011</t>
  </si>
  <si>
    <t xml:space="preserve">Anthony Torres</t>
  </si>
  <si>
    <t xml:space="preserve">PI-2026-012</t>
  </si>
  <si>
    <t xml:space="preserve">Patricia White</t>
  </si>
  <si>
    <t xml:space="preserve">PI-2026-013</t>
  </si>
  <si>
    <t xml:space="preserve">Sofia Thomas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</si>
</sst>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\$#,##0"/>
    <numFmt numFmtId="169" formatCode="0.0"/>
    <numFmt numFmtId="170" formatCode="\$#,##0.00"/>
    <numFmt numFmtId="171" formatCode="0.00"/>
    <numFmt numFmtId="172" formatCode="yyyy\-mm\-dd\ hh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days per phase (closed cases)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'Phase Breakdown'!C3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'Phase Breakdown'!$A$4:$A$9</c:f>
              <c:strCache>
                <c:ptCount val="6"/>
                <c:pt idx="0">
                  <c:v>Treatment (intake to MMI)</c:v>
                </c:pt>
                <c:pt idx="1">
                  <c:v>Records &amp; bills wait</c:v>
                </c:pt>
                <c:pt idx="2">
                  <c:v>Demand preparation</c:v>
                </c:pt>
                <c:pt idx="3">
                  <c:v>Adjuster first-offer wait</c:v>
                </c:pt>
                <c:pt idx="4">
                  <c:v>Negotiation</c:v>
                </c:pt>
                <c:pt idx="5">
                  <c:v>Settlement to closing</c:v>
                </c:pt>
              </c:strCache>
            </c:strRef>
          </c:cat>
          <c:val>
            <c:numRef>
              <c:f>'Phase Breakdown'!$C$4:$C$9</c:f>
              <c:numCache>
                <c:formatCode>0.0</c:formatCode>
                <c:ptCount val="6"/>
                <c:pt idx="0">
                  <c:v>128.451807228916</c:v>
                </c:pt>
                <c:pt idx="1">
                  <c:v>31.6746987951807</c:v>
                </c:pt>
                <c:pt idx="2">
                  <c:v>16.9277108433735</c:v>
                </c:pt>
                <c:pt idx="3">
                  <c:v>41.9518072289157</c:v>
                </c:pt>
                <c:pt idx="4">
                  <c:v>68.5301204819277</c:v>
                </c:pt>
                <c:pt idx="5">
                  <c:v>34.710843373494</c:v>
                </c:pt>
              </c:numCache>
            </c:numRef>
          </c:val>
        </c:ser>
        <c:gapWidth val="150"/>
        <c:overlap val="0"/>
        <c:axId val="17768133"/>
        <c:axId val="24619541"/>
      </c:barChart>
      <c:catAx>
        <c:axId val="17768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19541"/>
        <c:crosses val="autoZero"/>
        <c:auto val="1"/>
        <c:lblAlgn val="ctr"/>
        <c:lblOffset val="100"/>
        <c:noMultiLvlLbl val="0"/>
      </c:catAx>
      <c:valAx>
        <c:axId val="24619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681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63914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COUNTA(CaseData!$A$2:$A$201)</f>
        <v>200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COUNTIF(CaseData!$F$2:$F$201,"Closed")</f>
        <v>166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COUNTIF(CaseData!$F$2:$F$201,"Open")</f>
        <v>34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f aca="false">COUNTIF(CaseData!$AI$2:$AI$201,"Yes")</f>
        <v>5</v>
      </c>
      <c r="C8" s="4" t="s">
        <v>12</v>
      </c>
    </row>
    <row r="9" customFormat="false" ht="15" hidden="false" customHeight="false" outlineLevel="0" collapsed="false">
      <c r="A9" s="4" t="s">
        <v>13</v>
      </c>
      <c r="B9" s="6" t="n">
        <f aca="false">COUNTIF(CaseData!$AH$2:$AH$201,"Yes")/COUNTA(CaseData!$A$2:$A$201)</f>
        <v>0.44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7" t="n">
        <f aca="false">AVERAGE(CaseData!$AA$2:$AA$201)</f>
        <v>322.246987951807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7" t="n">
        <f aca="false">MEDIAN(CaseData!$AA$2:$AA$201)</f>
        <v>301.5</v>
      </c>
      <c r="C11" s="4" t="s">
        <v>16</v>
      </c>
    </row>
    <row r="12" customFormat="false" ht="15" hidden="false" customHeight="false" outlineLevel="0" collapsed="false">
      <c r="A12" s="4" t="s">
        <v>18</v>
      </c>
      <c r="B12" s="6" t="n">
        <f aca="false">SUM(CaseData!$AB$2:$AB$201)/SUM(CaseData!$AA$2:$AA$201)</f>
        <v>0.160245265735704</v>
      </c>
      <c r="C12" s="4" t="s">
        <v>19</v>
      </c>
    </row>
    <row r="13" customFormat="false" ht="15" hidden="false" customHeight="false" outlineLevel="0" collapsed="false">
      <c r="A13" s="4" t="s">
        <v>20</v>
      </c>
      <c r="B13" s="6" t="n">
        <f aca="false">SUMIFS(CaseData!$AC$2:$AC$201,CaseData!$F$2:$F$201,"Closed")/SUM(CaseData!$AA$2:$AA$201)</f>
        <v>0.228478492513039</v>
      </c>
      <c r="C13" s="4" t="s">
        <v>21</v>
      </c>
    </row>
    <row r="14" customFormat="false" ht="15" hidden="false" customHeight="false" outlineLevel="0" collapsed="false">
      <c r="A14" s="4" t="s">
        <v>22</v>
      </c>
      <c r="B14" s="8" t="n">
        <f aca="false">SUM(CaseData!$I$2:$I$201)</f>
        <v>6846250</v>
      </c>
      <c r="C14" s="4" t="s">
        <v>23</v>
      </c>
    </row>
    <row r="15" customFormat="false" ht="15" hidden="false" customHeight="false" outlineLevel="0" collapsed="false">
      <c r="A15" s="4" t="s">
        <v>24</v>
      </c>
      <c r="B15" s="8" t="n">
        <f aca="false">SUM(CaseData!$AF$2:$AF$201)</f>
        <v>2341775</v>
      </c>
      <c r="C15" s="4" t="s">
        <v>25</v>
      </c>
    </row>
    <row r="16" customFormat="false" ht="15" hidden="false" customHeight="false" outlineLevel="0" collapsed="false">
      <c r="A16" s="4" t="s">
        <v>26</v>
      </c>
      <c r="B16" s="8" t="n">
        <f aca="false">SUMIFS(CaseData!$K$2:$K$201,CaseData!$F$2:$F$201,"Closed")</f>
        <v>1325530.76</v>
      </c>
      <c r="C16" s="4" t="s">
        <v>27</v>
      </c>
    </row>
    <row r="17" customFormat="false" ht="15" hidden="false" customHeight="false" outlineLevel="0" collapsed="false">
      <c r="A17" s="4" t="s">
        <v>28</v>
      </c>
      <c r="B17" s="8" t="n">
        <f aca="false">SUM(CaseData!$AD$2:$AD$201)</f>
        <v>491162.88</v>
      </c>
      <c r="C17" s="4" t="s">
        <v>29</v>
      </c>
    </row>
    <row r="18" customFormat="false" ht="15" hidden="false" customHeight="false" outlineLevel="0" collapsed="false">
      <c r="A18" s="4" t="s">
        <v>30</v>
      </c>
      <c r="B18" s="6" t="n">
        <f aca="false">B17/B16</f>
        <v>0.370540537286362</v>
      </c>
      <c r="C18" s="4" t="s">
        <v>31</v>
      </c>
    </row>
    <row r="20" customFormat="false" ht="15" hidden="false" customHeight="false" outlineLevel="0" collapsed="false">
      <c r="A20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36</v>
      </c>
      <c r="D3" s="3" t="s">
        <v>37</v>
      </c>
    </row>
    <row r="4" customFormat="false" ht="15" hidden="false" customHeight="false" outlineLevel="0" collapsed="false">
      <c r="A4" s="4" t="s">
        <v>38</v>
      </c>
      <c r="B4" s="4" t="s">
        <v>39</v>
      </c>
      <c r="C4" s="9" t="n">
        <f aca="false">AVERAGEIFS(CaseData!$T$2:$T$201,CaseData!$F$2:$F$201,"Closed")</f>
        <v>128.451807228916</v>
      </c>
      <c r="D4" s="6" t="n">
        <f aca="false">C4/SUM($C$4:$C$9)</f>
        <v>0.398612902622773</v>
      </c>
    </row>
    <row r="5" customFormat="false" ht="15" hidden="false" customHeight="false" outlineLevel="0" collapsed="false">
      <c r="A5" s="4" t="s">
        <v>40</v>
      </c>
      <c r="B5" s="4" t="s">
        <v>41</v>
      </c>
      <c r="C5" s="9" t="n">
        <f aca="false">AVERAGEIFS(CaseData!$U$2:$U$201,CaseData!$F$2:$F$201,"Closed")</f>
        <v>31.6746987951807</v>
      </c>
      <c r="D5" s="6" t="n">
        <f aca="false">C5/SUM($C$4:$C$9)</f>
        <v>0.0982932346288299</v>
      </c>
    </row>
    <row r="6" customFormat="false" ht="15" hidden="false" customHeight="false" outlineLevel="0" collapsed="false">
      <c r="A6" s="4" t="s">
        <v>42</v>
      </c>
      <c r="B6" s="4" t="s">
        <v>43</v>
      </c>
      <c r="C6" s="9" t="n">
        <f aca="false">AVERAGEIFS(CaseData!$V$2:$V$201,CaseData!$F$2:$F$201,"Closed")</f>
        <v>16.9277108433735</v>
      </c>
      <c r="D6" s="6" t="n">
        <f aca="false">C6/SUM($C$4:$C$9)</f>
        <v>0.0525302376011815</v>
      </c>
    </row>
    <row r="7" customFormat="false" ht="15" hidden="false" customHeight="false" outlineLevel="0" collapsed="false">
      <c r="A7" s="4" t="s">
        <v>44</v>
      </c>
      <c r="B7" s="4" t="s">
        <v>45</v>
      </c>
      <c r="C7" s="9" t="n">
        <f aca="false">AVERAGEIFS(CaseData!$W$2:$W$201,CaseData!$F$2:$F$201,"Closed")</f>
        <v>41.9518072289157</v>
      </c>
      <c r="D7" s="6" t="n">
        <f aca="false">C7/SUM($C$4:$C$9)</f>
        <v>0.130185257884209</v>
      </c>
    </row>
    <row r="8" customFormat="false" ht="15" hidden="false" customHeight="false" outlineLevel="0" collapsed="false">
      <c r="A8" s="4" t="s">
        <v>46</v>
      </c>
      <c r="B8" s="4" t="s">
        <v>47</v>
      </c>
      <c r="C8" s="9" t="n">
        <f aca="false">AVERAGEIFS(CaseData!$X$2:$X$201,CaseData!$F$2:$F$201,"Closed")</f>
        <v>68.5301204819277</v>
      </c>
      <c r="D8" s="6" t="n">
        <f aca="false">C8/SUM($C$4:$C$9)</f>
        <v>0.212663339128484</v>
      </c>
    </row>
    <row r="9" customFormat="false" ht="15" hidden="false" customHeight="false" outlineLevel="0" collapsed="false">
      <c r="A9" s="4" t="s">
        <v>48</v>
      </c>
      <c r="B9" s="4" t="s">
        <v>43</v>
      </c>
      <c r="C9" s="9" t="n">
        <f aca="false">AVERAGEIFS(CaseData!$Y$2:$Y$201,CaseData!$F$2:$F$201,"Closed")</f>
        <v>34.710843373494</v>
      </c>
      <c r="D9" s="6" t="n">
        <f aca="false">C9/SUM($C$4:$C$9)</f>
        <v>0.107715028134522</v>
      </c>
    </row>
    <row r="10" customFormat="false" ht="15" hidden="false" customHeight="false" outlineLevel="0" collapsed="false">
      <c r="A10" s="10" t="s">
        <v>49</v>
      </c>
      <c r="B10" s="10"/>
      <c r="C10" s="11" t="n">
        <f aca="false">SUM(C4:C9)</f>
        <v>322.246987951807</v>
      </c>
      <c r="D10" s="12" t="n">
        <f aca="false">SUM(D4:D9)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50</v>
      </c>
    </row>
    <row r="3" customFormat="false" ht="23.8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</row>
    <row r="4" customFormat="false" ht="15" hidden="false" customHeight="false" outlineLevel="0" collapsed="false">
      <c r="A4" s="4" t="s">
        <v>59</v>
      </c>
      <c r="B4" s="4" t="n">
        <f aca="false">COUNTIF(CaseData!$D$2:$D$201,A4)</f>
        <v>42</v>
      </c>
      <c r="C4" s="9" t="n">
        <f aca="false">IFERROR(AVERAGEIFS(CaseData!$V$2:$V$201,CaseData!$D$2:$D$201,A4),"")</f>
        <v>17.390243902439</v>
      </c>
      <c r="D4" s="9" t="n">
        <f aca="false">IFERROR(AVERAGEIFS(CaseData!$Y$2:$Y$201,CaseData!$D$2:$D$201,A4),"")</f>
        <v>28.3428571428571</v>
      </c>
      <c r="E4" s="9" t="n">
        <f aca="false">IFERROR(AVERAGEIFS(CaseData!$AB$2:$AB$201,CaseData!$D$2:$D$201,A4),"")</f>
        <v>44.4</v>
      </c>
      <c r="F4" s="6" t="n">
        <f aca="false">IFERROR(SUMIFS(CaseData!$AD$2:$AD$201,CaseData!$D$2:$D$201,A4)/SUMIFS(CaseData!$K$2:$K$201,CaseData!$D$2:$D$201,A4,CaseData!$F$2:$F$201,"Closed"),"")</f>
        <v>0.278061273461349</v>
      </c>
      <c r="G4" s="8" t="n">
        <f aca="false">SUMIFS(CaseData!$AD$2:$AD$201,CaseData!$D$2:$D$201,A4)</f>
        <v>69526.73</v>
      </c>
      <c r="H4" s="8" t="n">
        <f aca="false">SUMIFS(CaseData!$AF$2:$AF$201,CaseData!$D$2:$D$201,A4)</f>
        <v>486090</v>
      </c>
    </row>
    <row r="5" customFormat="false" ht="15" hidden="false" customHeight="false" outlineLevel="0" collapsed="false">
      <c r="A5" s="4" t="s">
        <v>60</v>
      </c>
      <c r="B5" s="4" t="n">
        <f aca="false">COUNTIF(CaseData!$D$2:$D$201,A5)</f>
        <v>35</v>
      </c>
      <c r="C5" s="9" t="n">
        <f aca="false">IFERROR(AVERAGEIFS(CaseData!$V$2:$V$201,CaseData!$D$2:$D$201,A5),"")</f>
        <v>19.1764705882353</v>
      </c>
      <c r="D5" s="9" t="n">
        <f aca="false">IFERROR(AVERAGEIFS(CaseData!$Y$2:$Y$201,CaseData!$D$2:$D$201,A5),"")</f>
        <v>38.3225806451613</v>
      </c>
      <c r="E5" s="9" t="n">
        <f aca="false">IFERROR(AVERAGEIFS(CaseData!$AB$2:$AB$201,CaseData!$D$2:$D$201,A5),"")</f>
        <v>55.8064516129032</v>
      </c>
      <c r="F5" s="6" t="n">
        <f aca="false">IFERROR(SUMIFS(CaseData!$AD$2:$AD$201,CaseData!$D$2:$D$201,A5)/SUMIFS(CaseData!$K$2:$K$201,CaseData!$D$2:$D$201,A5,CaseData!$F$2:$F$201,"Closed"),"")</f>
        <v>0.469617661758287</v>
      </c>
      <c r="G5" s="8" t="n">
        <f aca="false">SUMIFS(CaseData!$AD$2:$AD$201,CaseData!$D$2:$D$201,A5)</f>
        <v>112804.44</v>
      </c>
      <c r="H5" s="8" t="n">
        <f aca="false">SUMIFS(CaseData!$AF$2:$AF$201,CaseData!$D$2:$D$201,A5)</f>
        <v>364177.5</v>
      </c>
    </row>
    <row r="6" customFormat="false" ht="15" hidden="false" customHeight="false" outlineLevel="0" collapsed="false">
      <c r="A6" s="4" t="s">
        <v>61</v>
      </c>
      <c r="B6" s="4" t="n">
        <f aca="false">COUNTIF(CaseData!$D$2:$D$201,A6)</f>
        <v>46</v>
      </c>
      <c r="C6" s="9" t="n">
        <f aca="false">IFERROR(AVERAGEIFS(CaseData!$V$2:$V$201,CaseData!$D$2:$D$201,A6),"")</f>
        <v>16.0869565217391</v>
      </c>
      <c r="D6" s="9" t="n">
        <f aca="false">IFERROR(AVERAGEIFS(CaseData!$Y$2:$Y$201,CaseData!$D$2:$D$201,A6),"")</f>
        <v>33.4</v>
      </c>
      <c r="E6" s="9" t="n">
        <f aca="false">IFERROR(AVERAGEIFS(CaseData!$AB$2:$AB$201,CaseData!$D$2:$D$201,A6),"")</f>
        <v>49.4857142857143</v>
      </c>
      <c r="F6" s="6" t="n">
        <f aca="false">IFERROR(SUMIFS(CaseData!$AD$2:$AD$201,CaseData!$D$2:$D$201,A6)/SUMIFS(CaseData!$K$2:$K$201,CaseData!$D$2:$D$201,A6,CaseData!$F$2:$F$201,"Closed"),"")</f>
        <v>0.333580564337033</v>
      </c>
      <c r="G6" s="8" t="n">
        <f aca="false">SUMIFS(CaseData!$AD$2:$AD$201,CaseData!$D$2:$D$201,A6)</f>
        <v>104329.8</v>
      </c>
      <c r="H6" s="8" t="n">
        <f aca="false">SUMIFS(CaseData!$AF$2:$AF$201,CaseData!$D$2:$D$201,A6)</f>
        <v>551892.5</v>
      </c>
    </row>
    <row r="7" customFormat="false" ht="15" hidden="false" customHeight="false" outlineLevel="0" collapsed="false">
      <c r="A7" s="4" t="s">
        <v>62</v>
      </c>
      <c r="B7" s="4" t="n">
        <f aca="false">COUNTIF(CaseData!$D$2:$D$201,A7)</f>
        <v>34</v>
      </c>
      <c r="C7" s="9" t="n">
        <f aca="false">IFERROR(AVERAGEIFS(CaseData!$V$2:$V$201,CaseData!$D$2:$D$201,A7),"")</f>
        <v>23.25</v>
      </c>
      <c r="D7" s="9" t="n">
        <f aca="false">IFERROR(AVERAGEIFS(CaseData!$Y$2:$Y$201,CaseData!$D$2:$D$201,A7),"")</f>
        <v>45.0689655172414</v>
      </c>
      <c r="E7" s="9" t="n">
        <f aca="false">IFERROR(AVERAGEIFS(CaseData!$AB$2:$AB$201,CaseData!$D$2:$D$201,A7),"")</f>
        <v>69.0689655172414</v>
      </c>
      <c r="F7" s="6" t="n">
        <f aca="false">IFERROR(SUMIFS(CaseData!$AD$2:$AD$201,CaseData!$D$2:$D$201,A7)/SUMIFS(CaseData!$K$2:$K$201,CaseData!$D$2:$D$201,A7,CaseData!$F$2:$F$201,"Closed"),"")</f>
        <v>0.389664125167272</v>
      </c>
      <c r="G7" s="8" t="n">
        <f aca="false">SUMIFS(CaseData!$AD$2:$AD$201,CaseData!$D$2:$D$201,A7)</f>
        <v>85234.48</v>
      </c>
      <c r="H7" s="8" t="n">
        <f aca="false">SUMIFS(CaseData!$AF$2:$AF$201,CaseData!$D$2:$D$201,A7)</f>
        <v>448192.5</v>
      </c>
    </row>
    <row r="8" customFormat="false" ht="15" hidden="false" customHeight="false" outlineLevel="0" collapsed="false">
      <c r="A8" s="4" t="s">
        <v>63</v>
      </c>
      <c r="B8" s="4" t="n">
        <f aca="false">COUNTIF(CaseData!$D$2:$D$201,A8)</f>
        <v>43</v>
      </c>
      <c r="C8" s="9" t="n">
        <f aca="false">IFERROR(AVERAGEIFS(CaseData!$V$2:$V$201,CaseData!$D$2:$D$201,A8),"")</f>
        <v>11.8571428571429</v>
      </c>
      <c r="D8" s="9" t="n">
        <f aca="false">IFERROR(AVERAGEIFS(CaseData!$Y$2:$Y$201,CaseData!$D$2:$D$201,A8),"")</f>
        <v>30.7222222222222</v>
      </c>
      <c r="E8" s="9" t="n">
        <f aca="false">IFERROR(AVERAGEIFS(CaseData!$AB$2:$AB$201,CaseData!$D$2:$D$201,A8),"")</f>
        <v>43.1388888888889</v>
      </c>
      <c r="F8" s="6" t="n">
        <f aca="false">IFERROR(SUMIFS(CaseData!$AD$2:$AD$201,CaseData!$D$2:$D$201,A8)/SUMIFS(CaseData!$K$2:$K$201,CaseData!$D$2:$D$201,A8,CaseData!$F$2:$F$201,"Closed"),"")</f>
        <v>0.392599425305272</v>
      </c>
      <c r="G8" s="8" t="n">
        <f aca="false">SUMIFS(CaseData!$AD$2:$AD$201,CaseData!$D$2:$D$201,A8)</f>
        <v>119267.43</v>
      </c>
      <c r="H8" s="8" t="n">
        <f aca="false">SUMIFS(CaseData!$AF$2:$AF$201,CaseData!$D$2:$D$201,A8)</f>
        <v>491422.5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</row>
    <row r="4" customFormat="false" ht="15" hidden="false" customHeight="false" outlineLevel="0" collapsed="false">
      <c r="A4" s="4" t="s">
        <v>70</v>
      </c>
      <c r="B4" s="4" t="n">
        <f aca="false">COUNTIFS(CaseData!$E$2:$E$201,A4,CaseData!$W$2:$W$201,"&gt;=0")</f>
        <v>45</v>
      </c>
      <c r="C4" s="9" t="n">
        <f aca="false">IFERROR(AVERAGEIFS(CaseData!$W$2:$W$201,CaseData!$E$2:$E$201,A4),"")</f>
        <v>45.4444444444444</v>
      </c>
      <c r="D4" s="6" t="n">
        <f aca="false">IFERROR(COUNTIFS(CaseData!$E$2:$E$201,A4,CaseData!$W$2:$W$201,"&gt;45")/B4,"")</f>
        <v>0.377777777777778</v>
      </c>
      <c r="E4" s="8" t="n">
        <f aca="false">IFERROR(AVERAGEIFS(CaseData!$I$2:$I$201,CaseData!$E$2:$E$201,A4),"")</f>
        <v>33871.7948717949</v>
      </c>
    </row>
    <row r="5" customFormat="false" ht="15" hidden="false" customHeight="false" outlineLevel="0" collapsed="false">
      <c r="A5" s="4" t="s">
        <v>71</v>
      </c>
      <c r="B5" s="4" t="n">
        <f aca="false">COUNTIFS(CaseData!$E$2:$E$201,A5,CaseData!$W$2:$W$201,"&gt;=0")</f>
        <v>29</v>
      </c>
      <c r="C5" s="9" t="n">
        <f aca="false">IFERROR(AVERAGEIFS(CaseData!$W$2:$W$201,CaseData!$E$2:$E$201,A5),"")</f>
        <v>33</v>
      </c>
      <c r="D5" s="6" t="n">
        <f aca="false">IFERROR(COUNTIFS(CaseData!$E$2:$E$201,A5,CaseData!$W$2:$W$201,"&gt;45")/B5,"")</f>
        <v>0.137931034482759</v>
      </c>
      <c r="E5" s="8" t="n">
        <f aca="false">IFERROR(AVERAGEIFS(CaseData!$I$2:$I$201,CaseData!$E$2:$E$201,A5),"")</f>
        <v>38440</v>
      </c>
    </row>
    <row r="6" customFormat="false" ht="15" hidden="false" customHeight="false" outlineLevel="0" collapsed="false">
      <c r="A6" s="4" t="s">
        <v>72</v>
      </c>
      <c r="B6" s="4" t="n">
        <f aca="false">COUNTIFS(CaseData!$E$2:$E$201,A6,CaseData!$W$2:$W$201,"&gt;=0")</f>
        <v>44</v>
      </c>
      <c r="C6" s="9" t="n">
        <f aca="false">IFERROR(AVERAGEIFS(CaseData!$W$2:$W$201,CaseData!$E$2:$E$201,A6),"")</f>
        <v>46.8636363636364</v>
      </c>
      <c r="D6" s="6" t="n">
        <f aca="false">IFERROR(COUNTIFS(CaseData!$E$2:$E$201,A6,CaseData!$W$2:$W$201,"&gt;45")/B6,"")</f>
        <v>0.431818181818182</v>
      </c>
      <c r="E6" s="8" t="n">
        <f aca="false">IFERROR(AVERAGEIFS(CaseData!$I$2:$I$201,CaseData!$E$2:$E$201,A6),"")</f>
        <v>42523.2558139535</v>
      </c>
    </row>
    <row r="7" customFormat="false" ht="15" hidden="false" customHeight="false" outlineLevel="0" collapsed="false">
      <c r="A7" s="4" t="s">
        <v>73</v>
      </c>
      <c r="B7" s="4" t="n">
        <f aca="false">COUNTIFS(CaseData!$E$2:$E$201,A7,CaseData!$W$2:$W$201,"&gt;=0")</f>
        <v>31</v>
      </c>
      <c r="C7" s="9" t="n">
        <f aca="false">IFERROR(AVERAGEIFS(CaseData!$W$2:$W$201,CaseData!$E$2:$E$201,A7),"")</f>
        <v>36.3225806451613</v>
      </c>
      <c r="D7" s="6" t="n">
        <f aca="false">IFERROR(COUNTIFS(CaseData!$E$2:$E$201,A7,CaseData!$W$2:$W$201,"&gt;45")/B7,"")</f>
        <v>0.193548387096774</v>
      </c>
      <c r="E7" s="8" t="n">
        <f aca="false">IFERROR(AVERAGEIFS(CaseData!$I$2:$I$201,CaseData!$E$2:$E$201,A7),"")</f>
        <v>52196.4285714286</v>
      </c>
    </row>
    <row r="8" customFormat="false" ht="15" hidden="false" customHeight="false" outlineLevel="0" collapsed="false">
      <c r="A8" s="4" t="s">
        <v>74</v>
      </c>
      <c r="B8" s="4" t="n">
        <f aca="false">COUNTIFS(CaseData!$E$2:$E$201,A8,CaseData!$W$2:$W$201,"&gt;=0")</f>
        <v>39</v>
      </c>
      <c r="C8" s="9" t="n">
        <f aca="false">IFERROR(AVERAGEIFS(CaseData!$W$2:$W$201,CaseData!$E$2:$E$201,A8),"")</f>
        <v>42.4615384615385</v>
      </c>
      <c r="D8" s="6" t="n">
        <f aca="false">IFERROR(COUNTIFS(CaseData!$E$2:$E$201,A8,CaseData!$W$2:$W$201,"&gt;45")/B8,"")</f>
        <v>0.358974358974359</v>
      </c>
      <c r="E8" s="8" t="n">
        <f aca="false">IFERROR(AVERAGEIFS(CaseData!$I$2:$I$201,CaseData!$E$2:$E$201,A8),"")</f>
        <v>34439.1891891892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3" t="s">
        <v>76</v>
      </c>
      <c r="B3" s="3" t="s">
        <v>52</v>
      </c>
      <c r="C3" s="3" t="s">
        <v>77</v>
      </c>
      <c r="D3" s="3" t="s">
        <v>69</v>
      </c>
      <c r="E3" s="3" t="s">
        <v>78</v>
      </c>
      <c r="F3" s="3" t="s">
        <v>79</v>
      </c>
    </row>
    <row r="4" customFormat="false" ht="15" hidden="false" customHeight="false" outlineLevel="0" collapsed="false">
      <c r="A4" s="4" t="s">
        <v>80</v>
      </c>
      <c r="B4" s="4" t="n">
        <f aca="false">COUNTIF(CaseData!$C$2:$C$201,A4)</f>
        <v>116</v>
      </c>
      <c r="C4" s="8" t="n">
        <f aca="false">IFERROR(AVERAGEIFS(CaseData!$H$2:$H$201,CaseData!$C$2:$C$201,A4),"")</f>
        <v>29334.26875</v>
      </c>
      <c r="D4" s="8" t="n">
        <f aca="false">IFERROR(AVERAGEIFS(CaseData!$I$2:$I$201,CaseData!$C$2:$C$201,A4),"")</f>
        <v>34897.5</v>
      </c>
      <c r="E4" s="7" t="n">
        <f aca="false">IFERROR(AVERAGEIFS(CaseData!$AA$2:$AA$201,CaseData!$C$2:$C$201,A4),"")</f>
        <v>322.552083333333</v>
      </c>
      <c r="F4" s="6" t="n">
        <f aca="false">COUNTIFS(CaseData!$C$2:$C$201,A4,CaseData!$J$2:$J$201,0.4)/B4</f>
        <v>0.189655172413793</v>
      </c>
    </row>
    <row r="5" customFormat="false" ht="15" hidden="false" customHeight="false" outlineLevel="0" collapsed="false">
      <c r="A5" s="4" t="s">
        <v>81</v>
      </c>
      <c r="B5" s="4" t="n">
        <f aca="false">COUNTIF(CaseData!$C$2:$C$201,A5)</f>
        <v>38</v>
      </c>
      <c r="C5" s="8" t="n">
        <f aca="false">IFERROR(AVERAGEIFS(CaseData!$H$2:$H$201,CaseData!$C$2:$C$201,A5),"")</f>
        <v>35175.6021052632</v>
      </c>
      <c r="D5" s="8" t="n">
        <f aca="false">IFERROR(AVERAGEIFS(CaseData!$I$2:$I$201,CaseData!$C$2:$C$201,A5),"")</f>
        <v>62046.875</v>
      </c>
      <c r="E5" s="7" t="n">
        <f aca="false">IFERROR(AVERAGEIFS(CaseData!$AA$2:$AA$201,CaseData!$C$2:$C$201,A5),"")</f>
        <v>334.483870967742</v>
      </c>
      <c r="F5" s="6" t="n">
        <f aca="false">COUNTIFS(CaseData!$C$2:$C$201,A5,CaseData!$J$2:$J$201,0.4)/B5</f>
        <v>0.342105263157895</v>
      </c>
    </row>
    <row r="6" customFormat="false" ht="15" hidden="false" customHeight="false" outlineLevel="0" collapsed="false">
      <c r="A6" s="4" t="s">
        <v>82</v>
      </c>
      <c r="B6" s="4" t="n">
        <f aca="false">COUNTIF(CaseData!$C$2:$C$201,A6)</f>
        <v>28</v>
      </c>
      <c r="C6" s="8" t="n">
        <f aca="false">IFERROR(AVERAGEIFS(CaseData!$H$2:$H$201,CaseData!$C$2:$C$201,A6),"")</f>
        <v>54242.9011111111</v>
      </c>
      <c r="D6" s="8" t="n">
        <f aca="false">IFERROR(AVERAGEIFS(CaseData!$I$2:$I$201,CaseData!$C$2:$C$201,A6),"")</f>
        <v>46647.7272727273</v>
      </c>
      <c r="E6" s="7" t="n">
        <f aca="false">IFERROR(AVERAGEIFS(CaseData!$AA$2:$AA$201,CaseData!$C$2:$C$201,A6),"")</f>
        <v>377.238095238095</v>
      </c>
      <c r="F6" s="6" t="n">
        <f aca="false">COUNTIFS(CaseData!$C$2:$C$201,A6,CaseData!$J$2:$J$201,0.4)/B6</f>
        <v>0.142857142857143</v>
      </c>
    </row>
    <row r="7" customFormat="false" ht="15" hidden="false" customHeight="false" outlineLevel="0" collapsed="false">
      <c r="A7" s="4" t="s">
        <v>83</v>
      </c>
      <c r="B7" s="4" t="n">
        <f aca="false">COUNTIF(CaseData!$C$2:$C$201,A7)</f>
        <v>18</v>
      </c>
      <c r="C7" s="8" t="n">
        <f aca="false">IFERROR(AVERAGEIFS(CaseData!$H$2:$H$201,CaseData!$C$2:$C$201,A7),"")</f>
        <v>9733.44166666667</v>
      </c>
      <c r="D7" s="8" t="n">
        <f aca="false">IFERROR(AVERAGEIFS(CaseData!$I$2:$I$201,CaseData!$C$2:$C$201,A7),"")</f>
        <v>19152.7777777778</v>
      </c>
      <c r="E7" s="7" t="n">
        <f aca="false">IFERROR(AVERAGEIFS(CaseData!$AA$2:$AA$201,CaseData!$C$2:$C$201,A7),"")</f>
        <v>235.388888888889</v>
      </c>
      <c r="F7" s="6" t="n">
        <f aca="false">COUNTIFS(CaseData!$C$2:$C$201,A7,CaseData!$J$2:$J$201,0.4)/B7</f>
        <v>0.111111111111111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</row>
    <row r="2" customFormat="false" ht="15" hidden="false" customHeight="false" outlineLevel="0" collapsed="false">
      <c r="A2" s="13" t="s">
        <v>91</v>
      </c>
      <c r="B2" s="13" t="s">
        <v>92</v>
      </c>
      <c r="C2" s="13" t="s">
        <v>61</v>
      </c>
      <c r="D2" s="13" t="s">
        <v>72</v>
      </c>
      <c r="E2" s="13" t="s">
        <v>93</v>
      </c>
      <c r="F2" s="13" t="s">
        <v>94</v>
      </c>
      <c r="G2" s="13" t="n">
        <v>133</v>
      </c>
    </row>
    <row r="3" customFormat="false" ht="15" hidden="false" customHeight="false" outlineLevel="0" collapsed="false">
      <c r="A3" s="13" t="s">
        <v>95</v>
      </c>
      <c r="B3" s="13" t="s">
        <v>96</v>
      </c>
      <c r="C3" s="13" t="s">
        <v>62</v>
      </c>
      <c r="D3" s="13" t="s">
        <v>70</v>
      </c>
      <c r="E3" s="13" t="s">
        <v>97</v>
      </c>
      <c r="F3" s="13" t="s">
        <v>98</v>
      </c>
      <c r="G3" s="13" t="n">
        <v>101</v>
      </c>
    </row>
    <row r="4" customFormat="false" ht="15" hidden="false" customHeight="false" outlineLevel="0" collapsed="false">
      <c r="A4" s="13" t="s">
        <v>99</v>
      </c>
      <c r="B4" s="13" t="s">
        <v>100</v>
      </c>
      <c r="C4" s="13" t="s">
        <v>63</v>
      </c>
      <c r="D4" s="13" t="s">
        <v>72</v>
      </c>
      <c r="E4" s="13" t="s">
        <v>93</v>
      </c>
      <c r="F4" s="13" t="s">
        <v>101</v>
      </c>
      <c r="G4" s="13" t="n">
        <v>86</v>
      </c>
    </row>
    <row r="5" customFormat="false" ht="15" hidden="false" customHeight="false" outlineLevel="0" collapsed="false">
      <c r="A5" s="13" t="s">
        <v>102</v>
      </c>
      <c r="B5" s="13" t="s">
        <v>103</v>
      </c>
      <c r="C5" s="13" t="s">
        <v>61</v>
      </c>
      <c r="D5" s="13" t="s">
        <v>72</v>
      </c>
      <c r="E5" s="13" t="s">
        <v>93</v>
      </c>
      <c r="F5" s="13" t="s">
        <v>94</v>
      </c>
      <c r="G5" s="13" t="n">
        <v>57</v>
      </c>
    </row>
    <row r="6" customFormat="false" ht="15" hidden="false" customHeight="false" outlineLevel="0" collapsed="false">
      <c r="A6" s="13" t="s">
        <v>104</v>
      </c>
      <c r="B6" s="13" t="s">
        <v>105</v>
      </c>
      <c r="C6" s="13" t="s">
        <v>62</v>
      </c>
      <c r="D6" s="13" t="s">
        <v>73</v>
      </c>
      <c r="E6" s="13" t="s">
        <v>97</v>
      </c>
      <c r="F6" s="13" t="s">
        <v>98</v>
      </c>
      <c r="G6" s="13" t="n">
        <v>53</v>
      </c>
    </row>
    <row r="8" customFormat="false" ht="15" hidden="false" customHeight="false" outlineLevel="0" collapsed="false">
      <c r="A8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20"/>
    <col collapsed="false" customWidth="true" hidden="false" outlineLevel="0" max="36" min="8" style="0" width="16"/>
  </cols>
  <sheetData>
    <row r="1" customFormat="false" ht="35.05" hidden="false" customHeight="false" outlineLevel="0" collapsed="false">
      <c r="A1" s="3" t="s">
        <v>84</v>
      </c>
      <c r="B1" s="3" t="s">
        <v>85</v>
      </c>
      <c r="C1" s="3" t="s">
        <v>107</v>
      </c>
      <c r="D1" s="3" t="s">
        <v>86</v>
      </c>
      <c r="E1" s="3" t="s">
        <v>87</v>
      </c>
      <c r="F1" s="3" t="s">
        <v>108</v>
      </c>
      <c r="G1" s="3" t="s">
        <v>88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  <c r="P1" s="3" t="s">
        <v>117</v>
      </c>
      <c r="Q1" s="3" t="s">
        <v>118</v>
      </c>
      <c r="R1" s="3" t="s">
        <v>119</v>
      </c>
      <c r="S1" s="3" t="s">
        <v>120</v>
      </c>
      <c r="T1" s="3" t="s">
        <v>121</v>
      </c>
      <c r="U1" s="3" t="s">
        <v>122</v>
      </c>
      <c r="V1" s="3" t="s">
        <v>123</v>
      </c>
      <c r="W1" s="3" t="s">
        <v>124</v>
      </c>
      <c r="X1" s="3" t="s">
        <v>125</v>
      </c>
      <c r="Y1" s="3" t="s">
        <v>126</v>
      </c>
      <c r="Z1" s="3" t="s">
        <v>127</v>
      </c>
      <c r="AA1" s="3" t="s">
        <v>128</v>
      </c>
      <c r="AB1" s="3" t="s">
        <v>129</v>
      </c>
      <c r="AC1" s="3" t="s">
        <v>130</v>
      </c>
      <c r="AD1" s="3" t="s">
        <v>131</v>
      </c>
      <c r="AE1" s="3" t="s">
        <v>132</v>
      </c>
      <c r="AF1" s="3" t="s">
        <v>133</v>
      </c>
      <c r="AG1" s="3" t="s">
        <v>134</v>
      </c>
      <c r="AH1" s="3" t="s">
        <v>135</v>
      </c>
      <c r="AI1" s="3" t="s">
        <v>136</v>
      </c>
      <c r="AJ1" s="3" t="s">
        <v>89</v>
      </c>
    </row>
    <row r="2" customFormat="false" ht="15" hidden="false" customHeight="false" outlineLevel="0" collapsed="false">
      <c r="A2" s="4" t="s">
        <v>137</v>
      </c>
      <c r="B2" s="4" t="s">
        <v>138</v>
      </c>
      <c r="C2" s="4" t="s">
        <v>81</v>
      </c>
      <c r="D2" s="4" t="s">
        <v>62</v>
      </c>
      <c r="E2" s="4" t="s">
        <v>74</v>
      </c>
      <c r="F2" s="4" t="s">
        <v>139</v>
      </c>
      <c r="G2" s="4" t="s">
        <v>140</v>
      </c>
      <c r="H2" s="14" t="n">
        <v>19366.57</v>
      </c>
      <c r="I2" s="14" t="n">
        <v>32250</v>
      </c>
      <c r="J2" s="15" t="n">
        <v>0.4</v>
      </c>
      <c r="K2" s="14" t="n">
        <v>6178.05</v>
      </c>
      <c r="L2" s="14" t="n">
        <v>4808.49</v>
      </c>
      <c r="M2" s="16" t="n">
        <v>45358</v>
      </c>
      <c r="N2" s="16" t="n">
        <v>45466</v>
      </c>
      <c r="O2" s="16" t="n">
        <v>45532</v>
      </c>
      <c r="P2" s="16" t="n">
        <v>45554</v>
      </c>
      <c r="Q2" s="16" t="n">
        <v>45589</v>
      </c>
      <c r="R2" s="16" t="n">
        <v>45817</v>
      </c>
      <c r="S2" s="16" t="n">
        <v>45877</v>
      </c>
      <c r="T2" s="4" t="n">
        <v>108</v>
      </c>
      <c r="U2" s="4" t="n">
        <v>66</v>
      </c>
      <c r="V2" s="4" t="n">
        <v>22</v>
      </c>
      <c r="W2" s="4" t="n">
        <v>35</v>
      </c>
      <c r="X2" s="4" t="n">
        <v>228</v>
      </c>
      <c r="Y2" s="4" t="n">
        <v>60</v>
      </c>
      <c r="Z2" s="4" t="n">
        <v>196</v>
      </c>
      <c r="AA2" s="4" t="n">
        <v>519</v>
      </c>
      <c r="AB2" s="4" t="n">
        <v>82</v>
      </c>
      <c r="AC2" s="4" t="n">
        <v>101</v>
      </c>
      <c r="AD2" s="14" t="n">
        <v>1369.56</v>
      </c>
      <c r="AE2" s="9" t="n">
        <v>22.2</v>
      </c>
      <c r="AF2" s="14" t="n">
        <v>12900</v>
      </c>
      <c r="AG2" s="14" t="n">
        <v>14541.51</v>
      </c>
      <c r="AH2" s="4" t="s">
        <v>141</v>
      </c>
      <c r="AI2" s="4" t="s">
        <v>142</v>
      </c>
      <c r="AJ2" s="4" t="s">
        <v>98</v>
      </c>
    </row>
    <row r="3" customFormat="false" ht="15" hidden="false" customHeight="false" outlineLevel="0" collapsed="false">
      <c r="A3" s="4" t="s">
        <v>143</v>
      </c>
      <c r="B3" s="4" t="s">
        <v>144</v>
      </c>
      <c r="C3" s="4" t="s">
        <v>80</v>
      </c>
      <c r="D3" s="4" t="s">
        <v>59</v>
      </c>
      <c r="E3" s="4" t="s">
        <v>73</v>
      </c>
      <c r="F3" s="4" t="s">
        <v>139</v>
      </c>
      <c r="G3" s="4" t="s">
        <v>140</v>
      </c>
      <c r="H3" s="14" t="n">
        <v>37848.99</v>
      </c>
      <c r="I3" s="14" t="n">
        <v>100000</v>
      </c>
      <c r="J3" s="15" t="n">
        <v>0.33</v>
      </c>
      <c r="K3" s="14" t="n">
        <v>6758.17</v>
      </c>
      <c r="L3" s="14" t="n">
        <v>3317.32</v>
      </c>
      <c r="M3" s="16" t="n">
        <v>45361</v>
      </c>
      <c r="N3" s="16" t="n">
        <v>45484</v>
      </c>
      <c r="O3" s="16" t="n">
        <v>45551</v>
      </c>
      <c r="P3" s="16" t="n">
        <v>45579</v>
      </c>
      <c r="Q3" s="16" t="n">
        <v>45615</v>
      </c>
      <c r="R3" s="16" t="n">
        <v>45657</v>
      </c>
      <c r="S3" s="16" t="n">
        <v>45697</v>
      </c>
      <c r="T3" s="4" t="n">
        <v>123</v>
      </c>
      <c r="U3" s="4" t="n">
        <v>67</v>
      </c>
      <c r="V3" s="4" t="n">
        <v>28</v>
      </c>
      <c r="W3" s="4" t="n">
        <v>36</v>
      </c>
      <c r="X3" s="4" t="n">
        <v>42</v>
      </c>
      <c r="Y3" s="4" t="n">
        <v>40</v>
      </c>
      <c r="Z3" s="4" t="n">
        <v>218</v>
      </c>
      <c r="AA3" s="4" t="n">
        <v>336</v>
      </c>
      <c r="AB3" s="4" t="n">
        <v>68</v>
      </c>
      <c r="AC3" s="4" t="n">
        <v>103</v>
      </c>
      <c r="AD3" s="14" t="n">
        <v>3440.85</v>
      </c>
      <c r="AE3" s="9" t="n">
        <v>50.9</v>
      </c>
      <c r="AF3" s="14" t="n">
        <v>33000</v>
      </c>
      <c r="AG3" s="14" t="n">
        <v>63682.68</v>
      </c>
      <c r="AH3" s="4" t="s">
        <v>141</v>
      </c>
      <c r="AI3" s="4" t="s">
        <v>142</v>
      </c>
      <c r="AJ3" s="4" t="s">
        <v>98</v>
      </c>
    </row>
    <row r="4" customFormat="false" ht="15" hidden="false" customHeight="false" outlineLevel="0" collapsed="false">
      <c r="A4" s="4" t="s">
        <v>145</v>
      </c>
      <c r="B4" s="4" t="s">
        <v>146</v>
      </c>
      <c r="C4" s="4" t="s">
        <v>80</v>
      </c>
      <c r="D4" s="4" t="s">
        <v>60</v>
      </c>
      <c r="E4" s="4" t="s">
        <v>73</v>
      </c>
      <c r="F4" s="4" t="s">
        <v>139</v>
      </c>
      <c r="G4" s="4" t="s">
        <v>140</v>
      </c>
      <c r="H4" s="14" t="n">
        <v>6224.91</v>
      </c>
      <c r="I4" s="14" t="n">
        <v>9000</v>
      </c>
      <c r="J4" s="15" t="n">
        <v>0.33</v>
      </c>
      <c r="K4" s="14" t="n">
        <v>2301.48</v>
      </c>
      <c r="L4" s="14" t="n">
        <v>1584.3</v>
      </c>
      <c r="M4" s="16" t="n">
        <v>45362</v>
      </c>
      <c r="N4" s="16" t="n">
        <v>45419</v>
      </c>
      <c r="O4" s="16" t="n">
        <v>45440</v>
      </c>
      <c r="P4" s="16" t="n">
        <v>45452</v>
      </c>
      <c r="Q4" s="16" t="n">
        <v>45490</v>
      </c>
      <c r="R4" s="16" t="n">
        <v>45516</v>
      </c>
      <c r="S4" s="16" t="n">
        <v>45539</v>
      </c>
      <c r="T4" s="4" t="n">
        <v>57</v>
      </c>
      <c r="U4" s="4" t="n">
        <v>21</v>
      </c>
      <c r="V4" s="4" t="n">
        <v>12</v>
      </c>
      <c r="W4" s="4" t="n">
        <v>38</v>
      </c>
      <c r="X4" s="4" t="n">
        <v>26</v>
      </c>
      <c r="Y4" s="4" t="n">
        <v>23</v>
      </c>
      <c r="Z4" s="4" t="n">
        <v>90</v>
      </c>
      <c r="AA4" s="4" t="n">
        <v>177</v>
      </c>
      <c r="AB4" s="4" t="n">
        <v>35</v>
      </c>
      <c r="AC4" s="4" t="n">
        <v>59</v>
      </c>
      <c r="AD4" s="14" t="n">
        <v>717.18</v>
      </c>
      <c r="AE4" s="9" t="n">
        <v>31.2</v>
      </c>
      <c r="AF4" s="14" t="n">
        <v>2970</v>
      </c>
      <c r="AG4" s="14" t="n">
        <v>4445.7</v>
      </c>
      <c r="AH4" s="4" t="s">
        <v>142</v>
      </c>
      <c r="AI4" s="4" t="s">
        <v>142</v>
      </c>
      <c r="AJ4" s="4"/>
    </row>
    <row r="5" customFormat="false" ht="15" hidden="false" customHeight="false" outlineLevel="0" collapsed="false">
      <c r="A5" s="4" t="s">
        <v>147</v>
      </c>
      <c r="B5" s="4" t="s">
        <v>148</v>
      </c>
      <c r="C5" s="4" t="s">
        <v>82</v>
      </c>
      <c r="D5" s="4" t="s">
        <v>61</v>
      </c>
      <c r="E5" s="4" t="s">
        <v>70</v>
      </c>
      <c r="F5" s="4" t="s">
        <v>139</v>
      </c>
      <c r="G5" s="4" t="s">
        <v>140</v>
      </c>
      <c r="H5" s="14" t="n">
        <v>56088.19</v>
      </c>
      <c r="I5" s="14" t="n">
        <v>149500</v>
      </c>
      <c r="J5" s="15" t="n">
        <v>0.33</v>
      </c>
      <c r="K5" s="14" t="n">
        <v>14872.22</v>
      </c>
      <c r="L5" s="14" t="n">
        <v>14446.09</v>
      </c>
      <c r="M5" s="16" t="n">
        <v>45363</v>
      </c>
      <c r="N5" s="16" t="n">
        <v>45755</v>
      </c>
      <c r="O5" s="16" t="n">
        <v>45778</v>
      </c>
      <c r="P5" s="16" t="n">
        <v>45795</v>
      </c>
      <c r="Q5" s="16" t="n">
        <v>45827</v>
      </c>
      <c r="R5" s="16" t="n">
        <v>45835</v>
      </c>
      <c r="S5" s="16" t="n">
        <v>45865</v>
      </c>
      <c r="T5" s="4" t="n">
        <v>392</v>
      </c>
      <c r="U5" s="4" t="n">
        <v>23</v>
      </c>
      <c r="V5" s="4" t="n">
        <v>17</v>
      </c>
      <c r="W5" s="4" t="n">
        <v>32</v>
      </c>
      <c r="X5" s="4" t="n">
        <v>8</v>
      </c>
      <c r="Y5" s="4" t="n">
        <v>30</v>
      </c>
      <c r="Z5" s="4" t="n">
        <v>432</v>
      </c>
      <c r="AA5" s="4" t="n">
        <v>502</v>
      </c>
      <c r="AB5" s="4" t="n">
        <v>47</v>
      </c>
      <c r="AC5" s="4" t="n">
        <v>55</v>
      </c>
      <c r="AD5" s="14" t="n">
        <v>426.13</v>
      </c>
      <c r="AE5" s="9" t="n">
        <v>2.9</v>
      </c>
      <c r="AF5" s="14" t="n">
        <v>49335</v>
      </c>
      <c r="AG5" s="14" t="n">
        <v>85718.91</v>
      </c>
      <c r="AH5" s="4" t="s">
        <v>142</v>
      </c>
      <c r="AI5" s="4" t="s">
        <v>142</v>
      </c>
      <c r="AJ5" s="4"/>
    </row>
    <row r="6" customFormat="false" ht="15" hidden="false" customHeight="false" outlineLevel="0" collapsed="false">
      <c r="A6" s="4" t="s">
        <v>149</v>
      </c>
      <c r="B6" s="4" t="s">
        <v>150</v>
      </c>
      <c r="C6" s="4" t="s">
        <v>80</v>
      </c>
      <c r="D6" s="4" t="s">
        <v>60</v>
      </c>
      <c r="E6" s="4" t="s">
        <v>70</v>
      </c>
      <c r="F6" s="4" t="s">
        <v>139</v>
      </c>
      <c r="G6" s="4" t="s">
        <v>140</v>
      </c>
      <c r="H6" s="14" t="n">
        <v>17513.15</v>
      </c>
      <c r="I6" s="14" t="n">
        <v>30500</v>
      </c>
      <c r="J6" s="15" t="n">
        <v>0.33</v>
      </c>
      <c r="K6" s="14" t="n">
        <v>4425.38</v>
      </c>
      <c r="L6" s="14" t="n">
        <v>3075.74</v>
      </c>
      <c r="M6" s="16" t="n">
        <v>45364</v>
      </c>
      <c r="N6" s="16" t="n">
        <v>45449</v>
      </c>
      <c r="O6" s="16" t="n">
        <v>45474</v>
      </c>
      <c r="P6" s="16" t="n">
        <v>45483</v>
      </c>
      <c r="Q6" s="16" t="n">
        <v>45534</v>
      </c>
      <c r="R6" s="16" t="n">
        <v>45557</v>
      </c>
      <c r="S6" s="16" t="n">
        <v>45581</v>
      </c>
      <c r="T6" s="4" t="n">
        <v>85</v>
      </c>
      <c r="U6" s="4" t="n">
        <v>25</v>
      </c>
      <c r="V6" s="4" t="n">
        <v>9</v>
      </c>
      <c r="W6" s="4" t="n">
        <v>51</v>
      </c>
      <c r="X6" s="4" t="n">
        <v>23</v>
      </c>
      <c r="Y6" s="4" t="n">
        <v>24</v>
      </c>
      <c r="Z6" s="4" t="n">
        <v>119</v>
      </c>
      <c r="AA6" s="4" t="n">
        <v>217</v>
      </c>
      <c r="AB6" s="4" t="n">
        <v>33</v>
      </c>
      <c r="AC6" s="4" t="n">
        <v>76</v>
      </c>
      <c r="AD6" s="14" t="n">
        <v>1349.64</v>
      </c>
      <c r="AE6" s="9" t="n">
        <v>30.5</v>
      </c>
      <c r="AF6" s="14" t="n">
        <v>10065</v>
      </c>
      <c r="AG6" s="14" t="n">
        <v>17359.26</v>
      </c>
      <c r="AH6" s="4" t="s">
        <v>141</v>
      </c>
      <c r="AI6" s="4" t="s">
        <v>142</v>
      </c>
      <c r="AJ6" s="4" t="s">
        <v>94</v>
      </c>
    </row>
    <row r="7" customFormat="false" ht="15" hidden="false" customHeight="false" outlineLevel="0" collapsed="false">
      <c r="A7" s="4" t="s">
        <v>151</v>
      </c>
      <c r="B7" s="4" t="s">
        <v>152</v>
      </c>
      <c r="C7" s="4" t="s">
        <v>80</v>
      </c>
      <c r="D7" s="4" t="s">
        <v>60</v>
      </c>
      <c r="E7" s="4" t="s">
        <v>70</v>
      </c>
      <c r="F7" s="4" t="s">
        <v>139</v>
      </c>
      <c r="G7" s="4" t="s">
        <v>140</v>
      </c>
      <c r="H7" s="14" t="n">
        <v>48508.51</v>
      </c>
      <c r="I7" s="14" t="n">
        <v>72750</v>
      </c>
      <c r="J7" s="15" t="n">
        <v>0.33</v>
      </c>
      <c r="K7" s="14" t="n">
        <v>12528.41</v>
      </c>
      <c r="L7" s="14" t="n">
        <v>6851.49</v>
      </c>
      <c r="M7" s="16" t="n">
        <v>45379</v>
      </c>
      <c r="N7" s="16" t="n">
        <v>45623</v>
      </c>
      <c r="O7" s="16" t="n">
        <v>45644</v>
      </c>
      <c r="P7" s="16" t="n">
        <v>45663</v>
      </c>
      <c r="Q7" s="16" t="n">
        <v>45687</v>
      </c>
      <c r="R7" s="16" t="n">
        <v>45700</v>
      </c>
      <c r="S7" s="16" t="n">
        <v>45758</v>
      </c>
      <c r="T7" s="4" t="n">
        <v>244</v>
      </c>
      <c r="U7" s="4" t="n">
        <v>21</v>
      </c>
      <c r="V7" s="4" t="n">
        <v>19</v>
      </c>
      <c r="W7" s="4" t="n">
        <v>24</v>
      </c>
      <c r="X7" s="4" t="n">
        <v>13</v>
      </c>
      <c r="Y7" s="4" t="n">
        <v>58</v>
      </c>
      <c r="Z7" s="4" t="n">
        <v>284</v>
      </c>
      <c r="AA7" s="4" t="n">
        <v>379</v>
      </c>
      <c r="AB7" s="4" t="n">
        <v>77</v>
      </c>
      <c r="AC7" s="4" t="n">
        <v>45</v>
      </c>
      <c r="AD7" s="14" t="n">
        <v>5676.92</v>
      </c>
      <c r="AE7" s="9" t="n">
        <v>45.3</v>
      </c>
      <c r="AF7" s="14" t="n">
        <v>24007.5</v>
      </c>
      <c r="AG7" s="14" t="n">
        <v>41891.01</v>
      </c>
      <c r="AH7" s="4" t="s">
        <v>142</v>
      </c>
      <c r="AI7" s="4" t="s">
        <v>142</v>
      </c>
      <c r="AJ7" s="4"/>
    </row>
    <row r="8" customFormat="false" ht="15" hidden="false" customHeight="false" outlineLevel="0" collapsed="false">
      <c r="A8" s="4" t="s">
        <v>153</v>
      </c>
      <c r="B8" s="4" t="s">
        <v>154</v>
      </c>
      <c r="C8" s="4" t="s">
        <v>81</v>
      </c>
      <c r="D8" s="4" t="s">
        <v>59</v>
      </c>
      <c r="E8" s="4" t="s">
        <v>70</v>
      </c>
      <c r="F8" s="4" t="s">
        <v>139</v>
      </c>
      <c r="G8" s="4" t="s">
        <v>140</v>
      </c>
      <c r="H8" s="14" t="n">
        <v>46266.55</v>
      </c>
      <c r="I8" s="14" t="n">
        <v>47500</v>
      </c>
      <c r="J8" s="15" t="n">
        <v>0.4</v>
      </c>
      <c r="K8" s="14" t="n">
        <v>14250</v>
      </c>
      <c r="L8" s="14" t="n">
        <v>13615.06</v>
      </c>
      <c r="M8" s="16" t="n">
        <v>45380</v>
      </c>
      <c r="N8" s="16" t="n">
        <v>45487</v>
      </c>
      <c r="O8" s="16" t="n">
        <v>45515</v>
      </c>
      <c r="P8" s="16" t="n">
        <v>45530</v>
      </c>
      <c r="Q8" s="16" t="n">
        <v>45587</v>
      </c>
      <c r="R8" s="16" t="n">
        <v>45913</v>
      </c>
      <c r="S8" s="16" t="n">
        <v>45933</v>
      </c>
      <c r="T8" s="4" t="n">
        <v>107</v>
      </c>
      <c r="U8" s="4" t="n">
        <v>28</v>
      </c>
      <c r="V8" s="4" t="n">
        <v>15</v>
      </c>
      <c r="W8" s="4" t="n">
        <v>57</v>
      </c>
      <c r="X8" s="4" t="n">
        <v>326</v>
      </c>
      <c r="Y8" s="4" t="n">
        <v>20</v>
      </c>
      <c r="Z8" s="4" t="n">
        <v>150</v>
      </c>
      <c r="AA8" s="4" t="n">
        <v>553</v>
      </c>
      <c r="AB8" s="4" t="n">
        <v>35</v>
      </c>
      <c r="AC8" s="4" t="n">
        <v>85</v>
      </c>
      <c r="AD8" s="14" t="n">
        <v>634.94</v>
      </c>
      <c r="AE8" s="9" t="n">
        <v>4.5</v>
      </c>
      <c r="AF8" s="14" t="n">
        <v>19000</v>
      </c>
      <c r="AG8" s="14" t="n">
        <v>14884.94</v>
      </c>
      <c r="AH8" s="4" t="s">
        <v>141</v>
      </c>
      <c r="AI8" s="4" t="s">
        <v>142</v>
      </c>
      <c r="AJ8" s="4" t="s">
        <v>94</v>
      </c>
    </row>
    <row r="9" customFormat="false" ht="15" hidden="false" customHeight="false" outlineLevel="0" collapsed="false">
      <c r="A9" s="4" t="s">
        <v>155</v>
      </c>
      <c r="B9" s="4" t="s">
        <v>156</v>
      </c>
      <c r="C9" s="4" t="s">
        <v>80</v>
      </c>
      <c r="D9" s="4" t="s">
        <v>62</v>
      </c>
      <c r="E9" s="4" t="s">
        <v>74</v>
      </c>
      <c r="F9" s="4" t="s">
        <v>139</v>
      </c>
      <c r="G9" s="4" t="s">
        <v>140</v>
      </c>
      <c r="H9" s="14" t="n">
        <v>7375.88</v>
      </c>
      <c r="I9" s="14" t="n">
        <v>11500</v>
      </c>
      <c r="J9" s="15" t="n">
        <v>0.33</v>
      </c>
      <c r="K9" s="14" t="n">
        <v>3450</v>
      </c>
      <c r="L9" s="14" t="n">
        <v>3137.74</v>
      </c>
      <c r="M9" s="16" t="n">
        <v>45383</v>
      </c>
      <c r="N9" s="16" t="n">
        <v>45492</v>
      </c>
      <c r="O9" s="16" t="n">
        <v>45518</v>
      </c>
      <c r="P9" s="16" t="n">
        <v>45538</v>
      </c>
      <c r="Q9" s="16" t="n">
        <v>45580</v>
      </c>
      <c r="R9" s="16" t="n">
        <v>45606</v>
      </c>
      <c r="S9" s="16" t="n">
        <v>45658</v>
      </c>
      <c r="T9" s="4" t="n">
        <v>109</v>
      </c>
      <c r="U9" s="4" t="n">
        <v>26</v>
      </c>
      <c r="V9" s="4" t="n">
        <v>20</v>
      </c>
      <c r="W9" s="4" t="n">
        <v>42</v>
      </c>
      <c r="X9" s="4" t="n">
        <v>26</v>
      </c>
      <c r="Y9" s="4" t="n">
        <v>52</v>
      </c>
      <c r="Z9" s="4" t="n">
        <v>155</v>
      </c>
      <c r="AA9" s="4" t="n">
        <v>275</v>
      </c>
      <c r="AB9" s="4" t="n">
        <v>72</v>
      </c>
      <c r="AC9" s="4" t="n">
        <v>68</v>
      </c>
      <c r="AD9" s="14" t="n">
        <v>312.26</v>
      </c>
      <c r="AE9" s="9" t="n">
        <v>9.1</v>
      </c>
      <c r="AF9" s="14" t="n">
        <v>3795</v>
      </c>
      <c r="AG9" s="14" t="n">
        <v>4567.26</v>
      </c>
      <c r="AH9" s="4" t="s">
        <v>142</v>
      </c>
      <c r="AI9" s="4" t="s">
        <v>142</v>
      </c>
      <c r="AJ9" s="4"/>
    </row>
    <row r="10" customFormat="false" ht="15" hidden="false" customHeight="false" outlineLevel="0" collapsed="false">
      <c r="A10" s="4" t="s">
        <v>157</v>
      </c>
      <c r="B10" s="4" t="s">
        <v>158</v>
      </c>
      <c r="C10" s="4" t="s">
        <v>83</v>
      </c>
      <c r="D10" s="4" t="s">
        <v>60</v>
      </c>
      <c r="E10" s="4" t="s">
        <v>72</v>
      </c>
      <c r="F10" s="4" t="s">
        <v>139</v>
      </c>
      <c r="G10" s="4" t="s">
        <v>140</v>
      </c>
      <c r="H10" s="14" t="n">
        <v>14128.63</v>
      </c>
      <c r="I10" s="14" t="n">
        <v>32750</v>
      </c>
      <c r="J10" s="15" t="n">
        <v>0.4</v>
      </c>
      <c r="K10" s="14" t="n">
        <v>4697.03</v>
      </c>
      <c r="L10" s="14" t="n">
        <v>3151.65</v>
      </c>
      <c r="M10" s="16" t="n">
        <v>45385</v>
      </c>
      <c r="N10" s="16" t="n">
        <v>45409</v>
      </c>
      <c r="O10" s="16" t="n">
        <v>45530</v>
      </c>
      <c r="P10" s="16" t="n">
        <v>45563</v>
      </c>
      <c r="Q10" s="16" t="n">
        <v>45597</v>
      </c>
      <c r="R10" s="16" t="n">
        <v>45813</v>
      </c>
      <c r="S10" s="16" t="n">
        <v>45846</v>
      </c>
      <c r="T10" s="4" t="n">
        <v>24</v>
      </c>
      <c r="U10" s="4" t="n">
        <v>121</v>
      </c>
      <c r="V10" s="4" t="n">
        <v>33</v>
      </c>
      <c r="W10" s="4" t="n">
        <v>34</v>
      </c>
      <c r="X10" s="4" t="n">
        <v>216</v>
      </c>
      <c r="Y10" s="4" t="n">
        <v>33</v>
      </c>
      <c r="Z10" s="4" t="n">
        <v>178</v>
      </c>
      <c r="AA10" s="4" t="n">
        <v>461</v>
      </c>
      <c r="AB10" s="4" t="n">
        <v>66</v>
      </c>
      <c r="AC10" s="4" t="n">
        <v>155</v>
      </c>
      <c r="AD10" s="14" t="n">
        <v>1545.38</v>
      </c>
      <c r="AE10" s="9" t="n">
        <v>32.9</v>
      </c>
      <c r="AF10" s="14" t="n">
        <v>13100</v>
      </c>
      <c r="AG10" s="14" t="n">
        <v>16498.35</v>
      </c>
      <c r="AH10" s="4" t="s">
        <v>141</v>
      </c>
      <c r="AI10" s="4" t="s">
        <v>142</v>
      </c>
      <c r="AJ10" s="4" t="s">
        <v>98</v>
      </c>
    </row>
    <row r="11" customFormat="false" ht="15" hidden="false" customHeight="false" outlineLevel="0" collapsed="false">
      <c r="A11" s="4" t="s">
        <v>159</v>
      </c>
      <c r="B11" s="4" t="s">
        <v>160</v>
      </c>
      <c r="C11" s="4" t="s">
        <v>80</v>
      </c>
      <c r="D11" s="4" t="s">
        <v>59</v>
      </c>
      <c r="E11" s="4" t="s">
        <v>72</v>
      </c>
      <c r="F11" s="4" t="s">
        <v>139</v>
      </c>
      <c r="G11" s="4" t="s">
        <v>140</v>
      </c>
      <c r="H11" s="14" t="n">
        <v>18335.89</v>
      </c>
      <c r="I11" s="14" t="n">
        <v>30500</v>
      </c>
      <c r="J11" s="15" t="n">
        <v>0.33</v>
      </c>
      <c r="K11" s="14" t="n">
        <v>3599.73</v>
      </c>
      <c r="L11" s="14" t="n">
        <v>3383.44</v>
      </c>
      <c r="M11" s="16" t="n">
        <v>45394</v>
      </c>
      <c r="N11" s="16" t="n">
        <v>45493</v>
      </c>
      <c r="O11" s="16" t="n">
        <v>45553</v>
      </c>
      <c r="P11" s="16" t="n">
        <v>45562</v>
      </c>
      <c r="Q11" s="16" t="n">
        <v>45622</v>
      </c>
      <c r="R11" s="16" t="n">
        <v>45700</v>
      </c>
      <c r="S11" s="16" t="n">
        <v>45717</v>
      </c>
      <c r="T11" s="4" t="n">
        <v>99</v>
      </c>
      <c r="U11" s="4" t="n">
        <v>60</v>
      </c>
      <c r="V11" s="4" t="n">
        <v>9</v>
      </c>
      <c r="W11" s="4" t="n">
        <v>60</v>
      </c>
      <c r="X11" s="4" t="n">
        <v>78</v>
      </c>
      <c r="Y11" s="4" t="n">
        <v>17</v>
      </c>
      <c r="Z11" s="4" t="n">
        <v>168</v>
      </c>
      <c r="AA11" s="4" t="n">
        <v>323</v>
      </c>
      <c r="AB11" s="4" t="n">
        <v>26</v>
      </c>
      <c r="AC11" s="4" t="n">
        <v>120</v>
      </c>
      <c r="AD11" s="14" t="n">
        <v>216.29</v>
      </c>
      <c r="AE11" s="9" t="n">
        <v>6</v>
      </c>
      <c r="AF11" s="14" t="n">
        <v>10065</v>
      </c>
      <c r="AG11" s="14" t="n">
        <v>17051.56</v>
      </c>
      <c r="AH11" s="4" t="s">
        <v>141</v>
      </c>
      <c r="AI11" s="4" t="s">
        <v>142</v>
      </c>
      <c r="AJ11" s="4" t="s">
        <v>101</v>
      </c>
    </row>
    <row r="12" customFormat="false" ht="15" hidden="false" customHeight="false" outlineLevel="0" collapsed="false">
      <c r="A12" s="4" t="s">
        <v>161</v>
      </c>
      <c r="B12" s="4" t="s">
        <v>162</v>
      </c>
      <c r="C12" s="4" t="s">
        <v>82</v>
      </c>
      <c r="D12" s="4" t="s">
        <v>63</v>
      </c>
      <c r="E12" s="4" t="s">
        <v>73</v>
      </c>
      <c r="F12" s="4" t="s">
        <v>139</v>
      </c>
      <c r="G12" s="4" t="s">
        <v>140</v>
      </c>
      <c r="H12" s="14" t="n">
        <v>28562.46</v>
      </c>
      <c r="I12" s="14" t="n">
        <v>25000</v>
      </c>
      <c r="J12" s="15" t="n">
        <v>0.33</v>
      </c>
      <c r="K12" s="14" t="n">
        <v>5799.38</v>
      </c>
      <c r="L12" s="14" t="n">
        <v>4327.76</v>
      </c>
      <c r="M12" s="16" t="n">
        <v>45395</v>
      </c>
      <c r="N12" s="16" t="n">
        <v>45654</v>
      </c>
      <c r="O12" s="16" t="n">
        <v>45672</v>
      </c>
      <c r="P12" s="16" t="n">
        <v>45691</v>
      </c>
      <c r="Q12" s="16" t="n">
        <v>45710</v>
      </c>
      <c r="R12" s="16" t="n">
        <v>45761</v>
      </c>
      <c r="S12" s="16" t="n">
        <v>45783</v>
      </c>
      <c r="T12" s="4" t="n">
        <v>259</v>
      </c>
      <c r="U12" s="4" t="n">
        <v>18</v>
      </c>
      <c r="V12" s="4" t="n">
        <v>19</v>
      </c>
      <c r="W12" s="4" t="n">
        <v>19</v>
      </c>
      <c r="X12" s="4" t="n">
        <v>51</v>
      </c>
      <c r="Y12" s="4" t="n">
        <v>22</v>
      </c>
      <c r="Z12" s="4" t="n">
        <v>296</v>
      </c>
      <c r="AA12" s="4" t="n">
        <v>388</v>
      </c>
      <c r="AB12" s="4" t="n">
        <v>41</v>
      </c>
      <c r="AC12" s="4" t="n">
        <v>37</v>
      </c>
      <c r="AD12" s="14" t="n">
        <v>1471.62</v>
      </c>
      <c r="AE12" s="9" t="n">
        <v>25.4</v>
      </c>
      <c r="AF12" s="14" t="n">
        <v>8250</v>
      </c>
      <c r="AG12" s="14" t="n">
        <v>12422.24</v>
      </c>
      <c r="AH12" s="4" t="s">
        <v>142</v>
      </c>
      <c r="AI12" s="4" t="s">
        <v>142</v>
      </c>
      <c r="AJ12" s="4"/>
    </row>
    <row r="13" customFormat="false" ht="15" hidden="false" customHeight="false" outlineLevel="0" collapsed="false">
      <c r="A13" s="4" t="s">
        <v>163</v>
      </c>
      <c r="B13" s="4" t="s">
        <v>164</v>
      </c>
      <c r="C13" s="4" t="s">
        <v>80</v>
      </c>
      <c r="D13" s="4" t="s">
        <v>63</v>
      </c>
      <c r="E13" s="4" t="s">
        <v>72</v>
      </c>
      <c r="F13" s="4" t="s">
        <v>139</v>
      </c>
      <c r="G13" s="4" t="s">
        <v>140</v>
      </c>
      <c r="H13" s="14" t="n">
        <v>34681.47</v>
      </c>
      <c r="I13" s="14" t="n">
        <v>15000</v>
      </c>
      <c r="J13" s="15" t="n">
        <v>0.33</v>
      </c>
      <c r="K13" s="14" t="n">
        <v>12000</v>
      </c>
      <c r="L13" s="14" t="n">
        <v>5250</v>
      </c>
      <c r="M13" s="16" t="n">
        <v>45397</v>
      </c>
      <c r="N13" s="16" t="n">
        <v>45525</v>
      </c>
      <c r="O13" s="16" t="n">
        <v>45613</v>
      </c>
      <c r="P13" s="16" t="n">
        <v>45619</v>
      </c>
      <c r="Q13" s="16" t="n">
        <v>45660</v>
      </c>
      <c r="R13" s="16" t="n">
        <v>45713</v>
      </c>
      <c r="S13" s="16" t="n">
        <v>45740</v>
      </c>
      <c r="T13" s="4" t="n">
        <v>128</v>
      </c>
      <c r="U13" s="4" t="n">
        <v>88</v>
      </c>
      <c r="V13" s="4" t="n">
        <v>6</v>
      </c>
      <c r="W13" s="4" t="n">
        <v>41</v>
      </c>
      <c r="X13" s="4" t="n">
        <v>53</v>
      </c>
      <c r="Y13" s="4" t="n">
        <v>27</v>
      </c>
      <c r="Z13" s="4" t="n">
        <v>222</v>
      </c>
      <c r="AA13" s="4" t="n">
        <v>343</v>
      </c>
      <c r="AB13" s="4" t="n">
        <v>33</v>
      </c>
      <c r="AC13" s="4" t="n">
        <v>129</v>
      </c>
      <c r="AD13" s="14" t="n">
        <v>6750</v>
      </c>
      <c r="AE13" s="9" t="n">
        <v>56.2</v>
      </c>
      <c r="AF13" s="14" t="n">
        <v>4950</v>
      </c>
      <c r="AG13" s="14" t="n">
        <v>4800</v>
      </c>
      <c r="AH13" s="4" t="s">
        <v>141</v>
      </c>
      <c r="AI13" s="4" t="s">
        <v>142</v>
      </c>
      <c r="AJ13" s="4" t="s">
        <v>98</v>
      </c>
    </row>
    <row r="14" customFormat="false" ht="15" hidden="false" customHeight="false" outlineLevel="0" collapsed="false">
      <c r="A14" s="4" t="s">
        <v>165</v>
      </c>
      <c r="B14" s="4" t="s">
        <v>166</v>
      </c>
      <c r="C14" s="4" t="s">
        <v>80</v>
      </c>
      <c r="D14" s="4" t="s">
        <v>59</v>
      </c>
      <c r="E14" s="4" t="s">
        <v>71</v>
      </c>
      <c r="F14" s="4" t="s">
        <v>139</v>
      </c>
      <c r="G14" s="4" t="s">
        <v>140</v>
      </c>
      <c r="H14" s="14" t="n">
        <v>24581.47</v>
      </c>
      <c r="I14" s="14" t="n">
        <v>15000</v>
      </c>
      <c r="J14" s="15" t="n">
        <v>0.33</v>
      </c>
      <c r="K14" s="14" t="n">
        <v>12000</v>
      </c>
      <c r="L14" s="14" t="n">
        <v>5250</v>
      </c>
      <c r="M14" s="16" t="n">
        <v>45399</v>
      </c>
      <c r="N14" s="16" t="n">
        <v>45467</v>
      </c>
      <c r="O14" s="16" t="n">
        <v>45492</v>
      </c>
      <c r="P14" s="16" t="n">
        <v>45521</v>
      </c>
      <c r="Q14" s="16" t="n">
        <v>45562</v>
      </c>
      <c r="R14" s="16" t="n">
        <v>45581</v>
      </c>
      <c r="S14" s="16" t="n">
        <v>45610</v>
      </c>
      <c r="T14" s="4" t="n">
        <v>68</v>
      </c>
      <c r="U14" s="4" t="n">
        <v>25</v>
      </c>
      <c r="V14" s="4" t="n">
        <v>29</v>
      </c>
      <c r="W14" s="4" t="n">
        <v>41</v>
      </c>
      <c r="X14" s="4" t="n">
        <v>19</v>
      </c>
      <c r="Y14" s="4" t="n">
        <v>29</v>
      </c>
      <c r="Z14" s="4" t="n">
        <v>122</v>
      </c>
      <c r="AA14" s="4" t="n">
        <v>211</v>
      </c>
      <c r="AB14" s="4" t="n">
        <v>58</v>
      </c>
      <c r="AC14" s="4" t="n">
        <v>66</v>
      </c>
      <c r="AD14" s="14" t="n">
        <v>6750</v>
      </c>
      <c r="AE14" s="9" t="n">
        <v>56.2</v>
      </c>
      <c r="AF14" s="14" t="n">
        <v>4950</v>
      </c>
      <c r="AG14" s="14" t="n">
        <v>4800</v>
      </c>
      <c r="AH14" s="4" t="s">
        <v>142</v>
      </c>
      <c r="AI14" s="4" t="s">
        <v>142</v>
      </c>
      <c r="AJ14" s="4"/>
    </row>
    <row r="15" customFormat="false" ht="15" hidden="false" customHeight="false" outlineLevel="0" collapsed="false">
      <c r="A15" s="4" t="s">
        <v>167</v>
      </c>
      <c r="B15" s="4" t="s">
        <v>168</v>
      </c>
      <c r="C15" s="4" t="s">
        <v>82</v>
      </c>
      <c r="D15" s="4" t="s">
        <v>61</v>
      </c>
      <c r="E15" s="4" t="s">
        <v>73</v>
      </c>
      <c r="F15" s="4" t="s">
        <v>139</v>
      </c>
      <c r="G15" s="4" t="s">
        <v>140</v>
      </c>
      <c r="H15" s="14" t="n">
        <v>32949.79</v>
      </c>
      <c r="I15" s="14" t="n">
        <v>70250</v>
      </c>
      <c r="J15" s="15" t="n">
        <v>0.33</v>
      </c>
      <c r="K15" s="14" t="n">
        <v>6045.55</v>
      </c>
      <c r="L15" s="14" t="n">
        <v>5671.67</v>
      </c>
      <c r="M15" s="16" t="n">
        <v>45401</v>
      </c>
      <c r="N15" s="16" t="n">
        <v>45701</v>
      </c>
      <c r="O15" s="16" t="n">
        <v>45808</v>
      </c>
      <c r="P15" s="16" t="n">
        <v>45824</v>
      </c>
      <c r="Q15" s="16" t="n">
        <v>45851</v>
      </c>
      <c r="R15" s="16" t="n">
        <v>45892</v>
      </c>
      <c r="S15" s="16" t="n">
        <v>45922</v>
      </c>
      <c r="T15" s="4" t="n">
        <v>300</v>
      </c>
      <c r="U15" s="4" t="n">
        <v>107</v>
      </c>
      <c r="V15" s="4" t="n">
        <v>16</v>
      </c>
      <c r="W15" s="4" t="n">
        <v>27</v>
      </c>
      <c r="X15" s="4" t="n">
        <v>41</v>
      </c>
      <c r="Y15" s="4" t="n">
        <v>30</v>
      </c>
      <c r="Z15" s="4" t="n">
        <v>423</v>
      </c>
      <c r="AA15" s="4" t="n">
        <v>521</v>
      </c>
      <c r="AB15" s="4" t="n">
        <v>46</v>
      </c>
      <c r="AC15" s="4" t="n">
        <v>134</v>
      </c>
      <c r="AD15" s="14" t="n">
        <v>373.88</v>
      </c>
      <c r="AE15" s="9" t="n">
        <v>6.2</v>
      </c>
      <c r="AF15" s="14" t="n">
        <v>23182.5</v>
      </c>
      <c r="AG15" s="14" t="n">
        <v>41395.83</v>
      </c>
      <c r="AH15" s="4" t="s">
        <v>141</v>
      </c>
      <c r="AI15" s="4" t="s">
        <v>142</v>
      </c>
      <c r="AJ15" s="4" t="s">
        <v>98</v>
      </c>
    </row>
    <row r="16" customFormat="false" ht="15" hidden="false" customHeight="false" outlineLevel="0" collapsed="false">
      <c r="A16" s="4" t="s">
        <v>169</v>
      </c>
      <c r="B16" s="4" t="s">
        <v>170</v>
      </c>
      <c r="C16" s="4" t="s">
        <v>80</v>
      </c>
      <c r="D16" s="4" t="s">
        <v>59</v>
      </c>
      <c r="E16" s="4" t="s">
        <v>73</v>
      </c>
      <c r="F16" s="4" t="s">
        <v>139</v>
      </c>
      <c r="G16" s="4" t="s">
        <v>140</v>
      </c>
      <c r="H16" s="14" t="n">
        <v>43216.01</v>
      </c>
      <c r="I16" s="14" t="n">
        <v>50000</v>
      </c>
      <c r="J16" s="15" t="n">
        <v>0.33</v>
      </c>
      <c r="K16" s="14" t="n">
        <v>18212.34</v>
      </c>
      <c r="L16" s="14" t="n">
        <v>12769.89</v>
      </c>
      <c r="M16" s="16" t="n">
        <v>45405</v>
      </c>
      <c r="N16" s="16" t="n">
        <v>45573</v>
      </c>
      <c r="O16" s="16" t="n">
        <v>45617</v>
      </c>
      <c r="P16" s="16" t="n">
        <v>45634</v>
      </c>
      <c r="Q16" s="16" t="n">
        <v>45653</v>
      </c>
      <c r="R16" s="16" t="n">
        <v>45672</v>
      </c>
      <c r="S16" s="16" t="n">
        <v>45706</v>
      </c>
      <c r="T16" s="4" t="n">
        <v>168</v>
      </c>
      <c r="U16" s="4" t="n">
        <v>44</v>
      </c>
      <c r="V16" s="4" t="n">
        <v>17</v>
      </c>
      <c r="W16" s="4" t="n">
        <v>19</v>
      </c>
      <c r="X16" s="4" t="n">
        <v>19</v>
      </c>
      <c r="Y16" s="4" t="n">
        <v>34</v>
      </c>
      <c r="Z16" s="4" t="n">
        <v>229</v>
      </c>
      <c r="AA16" s="4" t="n">
        <v>301</v>
      </c>
      <c r="AB16" s="4" t="n">
        <v>51</v>
      </c>
      <c r="AC16" s="4" t="n">
        <v>63</v>
      </c>
      <c r="AD16" s="14" t="n">
        <v>5442.45</v>
      </c>
      <c r="AE16" s="9" t="n">
        <v>29.9</v>
      </c>
      <c r="AF16" s="14" t="n">
        <v>16500</v>
      </c>
      <c r="AG16" s="14" t="n">
        <v>20730.11</v>
      </c>
      <c r="AH16" s="4" t="s">
        <v>142</v>
      </c>
      <c r="AI16" s="4" t="s">
        <v>142</v>
      </c>
      <c r="AJ16" s="4"/>
    </row>
    <row r="17" customFormat="false" ht="15" hidden="false" customHeight="false" outlineLevel="0" collapsed="false">
      <c r="A17" s="4" t="s">
        <v>171</v>
      </c>
      <c r="B17" s="4" t="s">
        <v>172</v>
      </c>
      <c r="C17" s="4" t="s">
        <v>81</v>
      </c>
      <c r="D17" s="4" t="s">
        <v>59</v>
      </c>
      <c r="E17" s="4" t="s">
        <v>70</v>
      </c>
      <c r="F17" s="4" t="s">
        <v>139</v>
      </c>
      <c r="G17" s="4" t="s">
        <v>140</v>
      </c>
      <c r="H17" s="14" t="n">
        <v>38205.42</v>
      </c>
      <c r="I17" s="14" t="n">
        <v>71000</v>
      </c>
      <c r="J17" s="15" t="n">
        <v>0.33</v>
      </c>
      <c r="K17" s="14" t="n">
        <v>15770.49</v>
      </c>
      <c r="L17" s="14" t="n">
        <v>10602.83</v>
      </c>
      <c r="M17" s="16" t="n">
        <v>45405</v>
      </c>
      <c r="N17" s="16" t="n">
        <v>45613</v>
      </c>
      <c r="O17" s="16" t="n">
        <v>45634</v>
      </c>
      <c r="P17" s="16" t="n">
        <v>45651</v>
      </c>
      <c r="Q17" s="16" t="n">
        <v>45737</v>
      </c>
      <c r="R17" s="16" t="n">
        <v>45747</v>
      </c>
      <c r="S17" s="16" t="n">
        <v>45783</v>
      </c>
      <c r="T17" s="4" t="n">
        <v>208</v>
      </c>
      <c r="U17" s="4" t="n">
        <v>21</v>
      </c>
      <c r="V17" s="4" t="n">
        <v>17</v>
      </c>
      <c r="W17" s="4" t="n">
        <v>86</v>
      </c>
      <c r="X17" s="4" t="n">
        <v>10</v>
      </c>
      <c r="Y17" s="4" t="n">
        <v>36</v>
      </c>
      <c r="Z17" s="4" t="n">
        <v>246</v>
      </c>
      <c r="AA17" s="4" t="n">
        <v>378</v>
      </c>
      <c r="AB17" s="4" t="n">
        <v>53</v>
      </c>
      <c r="AC17" s="4" t="n">
        <v>107</v>
      </c>
      <c r="AD17" s="14" t="n">
        <v>5167.66</v>
      </c>
      <c r="AE17" s="9" t="n">
        <v>32.8</v>
      </c>
      <c r="AF17" s="14" t="n">
        <v>23430</v>
      </c>
      <c r="AG17" s="14" t="n">
        <v>36967.17</v>
      </c>
      <c r="AH17" s="4" t="s">
        <v>141</v>
      </c>
      <c r="AI17" s="4" t="s">
        <v>142</v>
      </c>
      <c r="AJ17" s="4" t="s">
        <v>94</v>
      </c>
    </row>
    <row r="18" customFormat="false" ht="15" hidden="false" customHeight="false" outlineLevel="0" collapsed="false">
      <c r="A18" s="4" t="s">
        <v>173</v>
      </c>
      <c r="B18" s="4" t="s">
        <v>174</v>
      </c>
      <c r="C18" s="4" t="s">
        <v>80</v>
      </c>
      <c r="D18" s="4" t="s">
        <v>61</v>
      </c>
      <c r="E18" s="4" t="s">
        <v>74</v>
      </c>
      <c r="F18" s="4" t="s">
        <v>139</v>
      </c>
      <c r="G18" s="4" t="s">
        <v>140</v>
      </c>
      <c r="H18" s="14" t="n">
        <v>37463.94</v>
      </c>
      <c r="I18" s="14" t="n">
        <v>50000</v>
      </c>
      <c r="J18" s="15" t="n">
        <v>0.33</v>
      </c>
      <c r="K18" s="14" t="n">
        <v>13078.02</v>
      </c>
      <c r="L18" s="14" t="n">
        <v>8010.94</v>
      </c>
      <c r="M18" s="16" t="n">
        <v>45408</v>
      </c>
      <c r="N18" s="16" t="n">
        <v>45506</v>
      </c>
      <c r="O18" s="16" t="n">
        <v>45572</v>
      </c>
      <c r="P18" s="16" t="n">
        <v>45614</v>
      </c>
      <c r="Q18" s="16" t="n">
        <v>45661</v>
      </c>
      <c r="R18" s="16" t="n">
        <v>45727</v>
      </c>
      <c r="S18" s="16" t="n">
        <v>45751</v>
      </c>
      <c r="T18" s="4" t="n">
        <v>98</v>
      </c>
      <c r="U18" s="4" t="n">
        <v>66</v>
      </c>
      <c r="V18" s="4" t="n">
        <v>42</v>
      </c>
      <c r="W18" s="4" t="n">
        <v>47</v>
      </c>
      <c r="X18" s="4" t="n">
        <v>66</v>
      </c>
      <c r="Y18" s="4" t="n">
        <v>24</v>
      </c>
      <c r="Z18" s="4" t="n">
        <v>206</v>
      </c>
      <c r="AA18" s="4" t="n">
        <v>343</v>
      </c>
      <c r="AB18" s="4" t="n">
        <v>66</v>
      </c>
      <c r="AC18" s="4" t="n">
        <v>113</v>
      </c>
      <c r="AD18" s="14" t="n">
        <v>5067.08</v>
      </c>
      <c r="AE18" s="9" t="n">
        <v>38.7</v>
      </c>
      <c r="AF18" s="14" t="n">
        <v>16500</v>
      </c>
      <c r="AG18" s="14" t="n">
        <v>25489.06</v>
      </c>
      <c r="AH18" s="4" t="s">
        <v>141</v>
      </c>
      <c r="AI18" s="4" t="s">
        <v>142</v>
      </c>
      <c r="AJ18" s="4" t="s">
        <v>101</v>
      </c>
    </row>
    <row r="19" customFormat="false" ht="15" hidden="false" customHeight="false" outlineLevel="0" collapsed="false">
      <c r="A19" s="4" t="s">
        <v>175</v>
      </c>
      <c r="B19" s="4" t="s">
        <v>176</v>
      </c>
      <c r="C19" s="4" t="s">
        <v>81</v>
      </c>
      <c r="D19" s="4" t="s">
        <v>59</v>
      </c>
      <c r="E19" s="4" t="s">
        <v>72</v>
      </c>
      <c r="F19" s="4" t="s">
        <v>139</v>
      </c>
      <c r="G19" s="4" t="s">
        <v>140</v>
      </c>
      <c r="H19" s="14" t="n">
        <v>53743.48</v>
      </c>
      <c r="I19" s="14" t="n">
        <v>100000</v>
      </c>
      <c r="J19" s="15" t="n">
        <v>0.33</v>
      </c>
      <c r="K19" s="14" t="n">
        <v>11540.78</v>
      </c>
      <c r="L19" s="14" t="n">
        <v>6480.88</v>
      </c>
      <c r="M19" s="16" t="n">
        <v>45409</v>
      </c>
      <c r="N19" s="16" t="n">
        <v>45502</v>
      </c>
      <c r="O19" s="16" t="n">
        <v>45518</v>
      </c>
      <c r="P19" s="16" t="n">
        <v>45527</v>
      </c>
      <c r="Q19" s="16" t="n">
        <v>45565</v>
      </c>
      <c r="R19" s="16" t="n">
        <v>45596</v>
      </c>
      <c r="S19" s="16" t="n">
        <v>45630</v>
      </c>
      <c r="T19" s="4" t="n">
        <v>93</v>
      </c>
      <c r="U19" s="4" t="n">
        <v>16</v>
      </c>
      <c r="V19" s="4" t="n">
        <v>9</v>
      </c>
      <c r="W19" s="4" t="n">
        <v>38</v>
      </c>
      <c r="X19" s="4" t="n">
        <v>31</v>
      </c>
      <c r="Y19" s="4" t="n">
        <v>34</v>
      </c>
      <c r="Z19" s="4" t="n">
        <v>118</v>
      </c>
      <c r="AA19" s="4" t="n">
        <v>221</v>
      </c>
      <c r="AB19" s="4" t="n">
        <v>43</v>
      </c>
      <c r="AC19" s="4" t="n">
        <v>54</v>
      </c>
      <c r="AD19" s="14" t="n">
        <v>5059.9</v>
      </c>
      <c r="AE19" s="9" t="n">
        <v>43.8</v>
      </c>
      <c r="AF19" s="14" t="n">
        <v>33000</v>
      </c>
      <c r="AG19" s="14" t="n">
        <v>60519.12</v>
      </c>
      <c r="AH19" s="4" t="s">
        <v>142</v>
      </c>
      <c r="AI19" s="4" t="s">
        <v>142</v>
      </c>
      <c r="AJ19" s="4"/>
    </row>
    <row r="20" customFormat="false" ht="15" hidden="false" customHeight="false" outlineLevel="0" collapsed="false">
      <c r="A20" s="4" t="s">
        <v>177</v>
      </c>
      <c r="B20" s="4" t="s">
        <v>178</v>
      </c>
      <c r="C20" s="4" t="s">
        <v>81</v>
      </c>
      <c r="D20" s="4" t="s">
        <v>61</v>
      </c>
      <c r="E20" s="4" t="s">
        <v>72</v>
      </c>
      <c r="F20" s="4" t="s">
        <v>139</v>
      </c>
      <c r="G20" s="4" t="s">
        <v>140</v>
      </c>
      <c r="H20" s="14" t="n">
        <v>3228.94</v>
      </c>
      <c r="I20" s="14" t="n">
        <v>4000</v>
      </c>
      <c r="J20" s="15" t="n">
        <v>0.33</v>
      </c>
      <c r="K20" s="14" t="n">
        <v>581.39</v>
      </c>
      <c r="L20" s="14" t="n">
        <v>448.4</v>
      </c>
      <c r="M20" s="16" t="n">
        <v>45417</v>
      </c>
      <c r="N20" s="16" t="n">
        <v>45557</v>
      </c>
      <c r="O20" s="16" t="n">
        <v>45568</v>
      </c>
      <c r="P20" s="16" t="n">
        <v>45581</v>
      </c>
      <c r="Q20" s="16" t="n">
        <v>45619</v>
      </c>
      <c r="R20" s="16" t="n">
        <v>45703</v>
      </c>
      <c r="S20" s="16" t="n">
        <v>45721</v>
      </c>
      <c r="T20" s="4" t="n">
        <v>140</v>
      </c>
      <c r="U20" s="4" t="n">
        <v>11</v>
      </c>
      <c r="V20" s="4" t="n">
        <v>13</v>
      </c>
      <c r="W20" s="4" t="n">
        <v>38</v>
      </c>
      <c r="X20" s="4" t="n">
        <v>84</v>
      </c>
      <c r="Y20" s="4" t="n">
        <v>18</v>
      </c>
      <c r="Z20" s="4" t="n">
        <v>164</v>
      </c>
      <c r="AA20" s="4" t="n">
        <v>304</v>
      </c>
      <c r="AB20" s="4" t="n">
        <v>31</v>
      </c>
      <c r="AC20" s="4" t="n">
        <v>49</v>
      </c>
      <c r="AD20" s="14" t="n">
        <v>132.99</v>
      </c>
      <c r="AE20" s="9" t="n">
        <v>22.9</v>
      </c>
      <c r="AF20" s="14" t="n">
        <v>1320</v>
      </c>
      <c r="AG20" s="14" t="n">
        <v>2231.6</v>
      </c>
      <c r="AH20" s="4" t="s">
        <v>142</v>
      </c>
      <c r="AI20" s="4" t="s">
        <v>142</v>
      </c>
      <c r="AJ20" s="4"/>
    </row>
    <row r="21" customFormat="false" ht="15" hidden="false" customHeight="false" outlineLevel="0" collapsed="false">
      <c r="A21" s="4" t="s">
        <v>179</v>
      </c>
      <c r="B21" s="4" t="s">
        <v>180</v>
      </c>
      <c r="C21" s="4" t="s">
        <v>83</v>
      </c>
      <c r="D21" s="4" t="s">
        <v>63</v>
      </c>
      <c r="E21" s="4" t="s">
        <v>74</v>
      </c>
      <c r="F21" s="4" t="s">
        <v>139</v>
      </c>
      <c r="G21" s="4" t="s">
        <v>140</v>
      </c>
      <c r="H21" s="14" t="n">
        <v>10155.15</v>
      </c>
      <c r="I21" s="14" t="n">
        <v>16000</v>
      </c>
      <c r="J21" s="15" t="n">
        <v>0.33</v>
      </c>
      <c r="K21" s="14" t="n">
        <v>1753.27</v>
      </c>
      <c r="L21" s="14" t="n">
        <v>757.12</v>
      </c>
      <c r="M21" s="16" t="n">
        <v>45427</v>
      </c>
      <c r="N21" s="16" t="n">
        <v>45496</v>
      </c>
      <c r="O21" s="16" t="n">
        <v>45539</v>
      </c>
      <c r="P21" s="16" t="n">
        <v>45543</v>
      </c>
      <c r="Q21" s="16" t="n">
        <v>45565</v>
      </c>
      <c r="R21" s="16" t="n">
        <v>45587</v>
      </c>
      <c r="S21" s="16" t="n">
        <v>45610</v>
      </c>
      <c r="T21" s="4" t="n">
        <v>69</v>
      </c>
      <c r="U21" s="4" t="n">
        <v>43</v>
      </c>
      <c r="V21" s="4" t="n">
        <v>4</v>
      </c>
      <c r="W21" s="4" t="n">
        <v>22</v>
      </c>
      <c r="X21" s="4" t="n">
        <v>22</v>
      </c>
      <c r="Y21" s="4" t="n">
        <v>23</v>
      </c>
      <c r="Z21" s="4" t="n">
        <v>116</v>
      </c>
      <c r="AA21" s="4" t="n">
        <v>183</v>
      </c>
      <c r="AB21" s="4" t="n">
        <v>27</v>
      </c>
      <c r="AC21" s="4" t="n">
        <v>65</v>
      </c>
      <c r="AD21" s="14" t="n">
        <v>996.15</v>
      </c>
      <c r="AE21" s="9" t="n">
        <v>56.8</v>
      </c>
      <c r="AF21" s="14" t="n">
        <v>5280</v>
      </c>
      <c r="AG21" s="14" t="n">
        <v>9962.88</v>
      </c>
      <c r="AH21" s="4" t="s">
        <v>142</v>
      </c>
      <c r="AI21" s="4" t="s">
        <v>142</v>
      </c>
      <c r="AJ21" s="4"/>
    </row>
    <row r="22" customFormat="false" ht="15" hidden="false" customHeight="false" outlineLevel="0" collapsed="false">
      <c r="A22" s="4" t="s">
        <v>181</v>
      </c>
      <c r="B22" s="4" t="s">
        <v>182</v>
      </c>
      <c r="C22" s="4" t="s">
        <v>81</v>
      </c>
      <c r="D22" s="4" t="s">
        <v>62</v>
      </c>
      <c r="E22" s="4" t="s">
        <v>72</v>
      </c>
      <c r="F22" s="4" t="s">
        <v>139</v>
      </c>
      <c r="G22" s="4" t="s">
        <v>140</v>
      </c>
      <c r="H22" s="14" t="n">
        <v>15837.74</v>
      </c>
      <c r="I22" s="14" t="n">
        <v>23750</v>
      </c>
      <c r="J22" s="15" t="n">
        <v>0.33</v>
      </c>
      <c r="K22" s="14" t="n">
        <v>7153.3</v>
      </c>
      <c r="L22" s="14" t="n">
        <v>6278.04</v>
      </c>
      <c r="M22" s="16" t="n">
        <v>45429</v>
      </c>
      <c r="N22" s="16" t="n">
        <v>45691</v>
      </c>
      <c r="O22" s="16" t="n">
        <v>45702</v>
      </c>
      <c r="P22" s="16" t="n">
        <v>45713</v>
      </c>
      <c r="Q22" s="16" t="n">
        <v>45749</v>
      </c>
      <c r="R22" s="16" t="n">
        <v>45812</v>
      </c>
      <c r="S22" s="16" t="n">
        <v>45861</v>
      </c>
      <c r="T22" s="4" t="n">
        <v>262</v>
      </c>
      <c r="U22" s="4" t="n">
        <v>11</v>
      </c>
      <c r="V22" s="4" t="n">
        <v>11</v>
      </c>
      <c r="W22" s="4" t="n">
        <v>36</v>
      </c>
      <c r="X22" s="4" t="n">
        <v>63</v>
      </c>
      <c r="Y22" s="4" t="n">
        <v>49</v>
      </c>
      <c r="Z22" s="4" t="n">
        <v>284</v>
      </c>
      <c r="AA22" s="4" t="n">
        <v>432</v>
      </c>
      <c r="AB22" s="4" t="n">
        <v>60</v>
      </c>
      <c r="AC22" s="4" t="n">
        <v>47</v>
      </c>
      <c r="AD22" s="14" t="n">
        <v>875.26</v>
      </c>
      <c r="AE22" s="9" t="n">
        <v>12.2</v>
      </c>
      <c r="AF22" s="14" t="n">
        <v>7837.5</v>
      </c>
      <c r="AG22" s="14" t="n">
        <v>9634.46</v>
      </c>
      <c r="AH22" s="4" t="s">
        <v>142</v>
      </c>
      <c r="AI22" s="4" t="s">
        <v>142</v>
      </c>
      <c r="AJ22" s="4"/>
    </row>
    <row r="23" customFormat="false" ht="15" hidden="false" customHeight="false" outlineLevel="0" collapsed="false">
      <c r="A23" s="4" t="s">
        <v>183</v>
      </c>
      <c r="B23" s="4" t="s">
        <v>184</v>
      </c>
      <c r="C23" s="4" t="s">
        <v>80</v>
      </c>
      <c r="D23" s="4" t="s">
        <v>60</v>
      </c>
      <c r="E23" s="4" t="s">
        <v>71</v>
      </c>
      <c r="F23" s="4" t="s">
        <v>139</v>
      </c>
      <c r="G23" s="4" t="s">
        <v>140</v>
      </c>
      <c r="H23" s="14" t="n">
        <v>6942.58</v>
      </c>
      <c r="I23" s="14" t="n">
        <v>9250</v>
      </c>
      <c r="J23" s="15" t="n">
        <v>0.33</v>
      </c>
      <c r="K23" s="14" t="n">
        <v>2376.16</v>
      </c>
      <c r="L23" s="14" t="n">
        <v>2246.19</v>
      </c>
      <c r="M23" s="16" t="n">
        <v>45429</v>
      </c>
      <c r="N23" s="16" t="n">
        <v>45695</v>
      </c>
      <c r="O23" s="16" t="n">
        <v>45718</v>
      </c>
      <c r="P23" s="16" t="n">
        <v>45729</v>
      </c>
      <c r="Q23" s="16" t="n">
        <v>45759</v>
      </c>
      <c r="R23" s="16" t="n">
        <v>45799</v>
      </c>
      <c r="S23" s="16" t="n">
        <v>45837</v>
      </c>
      <c r="T23" s="4" t="n">
        <v>266</v>
      </c>
      <c r="U23" s="4" t="n">
        <v>23</v>
      </c>
      <c r="V23" s="4" t="n">
        <v>11</v>
      </c>
      <c r="W23" s="4" t="n">
        <v>30</v>
      </c>
      <c r="X23" s="4" t="n">
        <v>40</v>
      </c>
      <c r="Y23" s="4" t="n">
        <v>38</v>
      </c>
      <c r="Z23" s="4" t="n">
        <v>300</v>
      </c>
      <c r="AA23" s="4" t="n">
        <v>408</v>
      </c>
      <c r="AB23" s="4" t="n">
        <v>49</v>
      </c>
      <c r="AC23" s="4" t="n">
        <v>53</v>
      </c>
      <c r="AD23" s="14" t="n">
        <v>129.97</v>
      </c>
      <c r="AE23" s="9" t="n">
        <v>5.5</v>
      </c>
      <c r="AF23" s="14" t="n">
        <v>3052.5</v>
      </c>
      <c r="AG23" s="14" t="n">
        <v>3951.31</v>
      </c>
      <c r="AH23" s="4" t="s">
        <v>142</v>
      </c>
      <c r="AI23" s="4" t="s">
        <v>142</v>
      </c>
      <c r="AJ23" s="4"/>
    </row>
    <row r="24" customFormat="false" ht="15" hidden="false" customHeight="false" outlineLevel="0" collapsed="false">
      <c r="A24" s="4" t="s">
        <v>185</v>
      </c>
      <c r="B24" s="4" t="s">
        <v>186</v>
      </c>
      <c r="C24" s="4" t="s">
        <v>80</v>
      </c>
      <c r="D24" s="4" t="s">
        <v>61</v>
      </c>
      <c r="E24" s="4" t="s">
        <v>70</v>
      </c>
      <c r="F24" s="4" t="s">
        <v>139</v>
      </c>
      <c r="G24" s="4" t="s">
        <v>140</v>
      </c>
      <c r="H24" s="14" t="n">
        <v>40247.36</v>
      </c>
      <c r="I24" s="14" t="n">
        <v>50000</v>
      </c>
      <c r="J24" s="15" t="n">
        <v>0.33</v>
      </c>
      <c r="K24" s="14" t="n">
        <v>12841.84</v>
      </c>
      <c r="L24" s="14" t="n">
        <v>9401.38</v>
      </c>
      <c r="M24" s="16" t="n">
        <v>45430</v>
      </c>
      <c r="N24" s="16" t="n">
        <v>45515</v>
      </c>
      <c r="O24" s="16" t="n">
        <v>45598</v>
      </c>
      <c r="P24" s="16" t="n">
        <v>45609</v>
      </c>
      <c r="Q24" s="16" t="n">
        <v>45650</v>
      </c>
      <c r="R24" s="16" t="n">
        <v>45662</v>
      </c>
      <c r="S24" s="16" t="n">
        <v>45700</v>
      </c>
      <c r="T24" s="4" t="n">
        <v>85</v>
      </c>
      <c r="U24" s="4" t="n">
        <v>83</v>
      </c>
      <c r="V24" s="4" t="n">
        <v>11</v>
      </c>
      <c r="W24" s="4" t="n">
        <v>41</v>
      </c>
      <c r="X24" s="4" t="n">
        <v>12</v>
      </c>
      <c r="Y24" s="4" t="n">
        <v>38</v>
      </c>
      <c r="Z24" s="4" t="n">
        <v>179</v>
      </c>
      <c r="AA24" s="4" t="n">
        <v>270</v>
      </c>
      <c r="AB24" s="4" t="n">
        <v>49</v>
      </c>
      <c r="AC24" s="4" t="n">
        <v>124</v>
      </c>
      <c r="AD24" s="14" t="n">
        <v>3440.46</v>
      </c>
      <c r="AE24" s="9" t="n">
        <v>26.8</v>
      </c>
      <c r="AF24" s="14" t="n">
        <v>16500</v>
      </c>
      <c r="AG24" s="14" t="n">
        <v>24098.62</v>
      </c>
      <c r="AH24" s="4" t="s">
        <v>141</v>
      </c>
      <c r="AI24" s="4" t="s">
        <v>142</v>
      </c>
      <c r="AJ24" s="4" t="s">
        <v>98</v>
      </c>
    </row>
    <row r="25" customFormat="false" ht="15" hidden="false" customHeight="false" outlineLevel="0" collapsed="false">
      <c r="A25" s="4" t="s">
        <v>187</v>
      </c>
      <c r="B25" s="4" t="s">
        <v>188</v>
      </c>
      <c r="C25" s="4" t="s">
        <v>83</v>
      </c>
      <c r="D25" s="4" t="s">
        <v>60</v>
      </c>
      <c r="E25" s="4" t="s">
        <v>72</v>
      </c>
      <c r="F25" s="4" t="s">
        <v>139</v>
      </c>
      <c r="G25" s="4" t="s">
        <v>140</v>
      </c>
      <c r="H25" s="14" t="n">
        <v>7086</v>
      </c>
      <c r="I25" s="14" t="n">
        <v>20250</v>
      </c>
      <c r="J25" s="15" t="n">
        <v>0.33</v>
      </c>
      <c r="K25" s="14" t="n">
        <v>2441.82</v>
      </c>
      <c r="L25" s="14" t="n">
        <v>1435.23</v>
      </c>
      <c r="M25" s="16" t="n">
        <v>45431</v>
      </c>
      <c r="N25" s="16" t="n">
        <v>45490</v>
      </c>
      <c r="O25" s="16" t="n">
        <v>45507</v>
      </c>
      <c r="P25" s="16" t="n">
        <v>45513</v>
      </c>
      <c r="Q25" s="16" t="n">
        <v>45579</v>
      </c>
      <c r="R25" s="16" t="n">
        <v>45588</v>
      </c>
      <c r="S25" s="16" t="n">
        <v>45629</v>
      </c>
      <c r="T25" s="4" t="n">
        <v>59</v>
      </c>
      <c r="U25" s="4" t="n">
        <v>17</v>
      </c>
      <c r="V25" s="4" t="n">
        <v>6</v>
      </c>
      <c r="W25" s="4" t="n">
        <v>66</v>
      </c>
      <c r="X25" s="4" t="n">
        <v>9</v>
      </c>
      <c r="Y25" s="4" t="n">
        <v>41</v>
      </c>
      <c r="Z25" s="4" t="n">
        <v>82</v>
      </c>
      <c r="AA25" s="4" t="n">
        <v>198</v>
      </c>
      <c r="AB25" s="4" t="n">
        <v>47</v>
      </c>
      <c r="AC25" s="4" t="n">
        <v>83</v>
      </c>
      <c r="AD25" s="14" t="n">
        <v>1006.59</v>
      </c>
      <c r="AE25" s="9" t="n">
        <v>41.2</v>
      </c>
      <c r="AF25" s="14" t="n">
        <v>6682.5</v>
      </c>
      <c r="AG25" s="14" t="n">
        <v>12132.27</v>
      </c>
      <c r="AH25" s="4" t="s">
        <v>141</v>
      </c>
      <c r="AI25" s="4" t="s">
        <v>142</v>
      </c>
      <c r="AJ25" s="4" t="s">
        <v>94</v>
      </c>
    </row>
    <row r="26" customFormat="false" ht="15" hidden="false" customHeight="false" outlineLevel="0" collapsed="false">
      <c r="A26" s="4" t="s">
        <v>189</v>
      </c>
      <c r="B26" s="4" t="s">
        <v>190</v>
      </c>
      <c r="C26" s="4" t="s">
        <v>80</v>
      </c>
      <c r="D26" s="4" t="s">
        <v>63</v>
      </c>
      <c r="E26" s="4" t="s">
        <v>71</v>
      </c>
      <c r="F26" s="4" t="s">
        <v>139</v>
      </c>
      <c r="G26" s="4" t="s">
        <v>140</v>
      </c>
      <c r="H26" s="14" t="n">
        <v>19227.46</v>
      </c>
      <c r="I26" s="14" t="n">
        <v>25000</v>
      </c>
      <c r="J26" s="15" t="n">
        <v>0.33</v>
      </c>
      <c r="K26" s="14" t="n">
        <v>2046.19</v>
      </c>
      <c r="L26" s="14" t="n">
        <v>1633.28</v>
      </c>
      <c r="M26" s="16" t="n">
        <v>45436</v>
      </c>
      <c r="N26" s="16" t="n">
        <v>45796</v>
      </c>
      <c r="O26" s="16" t="n">
        <v>45880</v>
      </c>
      <c r="P26" s="16" t="n">
        <v>45884</v>
      </c>
      <c r="Q26" s="16" t="n">
        <v>45922</v>
      </c>
      <c r="R26" s="16" t="n">
        <v>45940</v>
      </c>
      <c r="S26" s="16" t="n">
        <v>45965</v>
      </c>
      <c r="T26" s="4" t="n">
        <v>360</v>
      </c>
      <c r="U26" s="4" t="n">
        <v>84</v>
      </c>
      <c r="V26" s="4" t="n">
        <v>4</v>
      </c>
      <c r="W26" s="4" t="n">
        <v>38</v>
      </c>
      <c r="X26" s="4" t="n">
        <v>18</v>
      </c>
      <c r="Y26" s="4" t="n">
        <v>25</v>
      </c>
      <c r="Z26" s="4" t="n">
        <v>448</v>
      </c>
      <c r="AA26" s="4" t="n">
        <v>529</v>
      </c>
      <c r="AB26" s="4" t="n">
        <v>29</v>
      </c>
      <c r="AC26" s="4" t="n">
        <v>122</v>
      </c>
      <c r="AD26" s="14" t="n">
        <v>412.91</v>
      </c>
      <c r="AE26" s="9" t="n">
        <v>20.2</v>
      </c>
      <c r="AF26" s="14" t="n">
        <v>8250</v>
      </c>
      <c r="AG26" s="14" t="n">
        <v>15116.72</v>
      </c>
      <c r="AH26" s="4" t="s">
        <v>141</v>
      </c>
      <c r="AI26" s="4" t="s">
        <v>142</v>
      </c>
      <c r="AJ26" s="4" t="s">
        <v>98</v>
      </c>
    </row>
    <row r="27" customFormat="false" ht="15" hidden="false" customHeight="false" outlineLevel="0" collapsed="false">
      <c r="A27" s="4" t="s">
        <v>191</v>
      </c>
      <c r="B27" s="4" t="s">
        <v>192</v>
      </c>
      <c r="C27" s="4" t="s">
        <v>80</v>
      </c>
      <c r="D27" s="4" t="s">
        <v>59</v>
      </c>
      <c r="E27" s="4" t="s">
        <v>73</v>
      </c>
      <c r="F27" s="4" t="s">
        <v>139</v>
      </c>
      <c r="G27" s="4" t="s">
        <v>140</v>
      </c>
      <c r="H27" s="14" t="n">
        <v>11138.84</v>
      </c>
      <c r="I27" s="14" t="n">
        <v>34000</v>
      </c>
      <c r="J27" s="15" t="n">
        <v>0.33</v>
      </c>
      <c r="K27" s="14" t="n">
        <v>8020.12</v>
      </c>
      <c r="L27" s="14" t="n">
        <v>7775.81</v>
      </c>
      <c r="M27" s="16" t="n">
        <v>45436</v>
      </c>
      <c r="N27" s="16" t="n">
        <v>45549</v>
      </c>
      <c r="O27" s="16" t="n">
        <v>45565</v>
      </c>
      <c r="P27" s="16" t="n">
        <v>45574</v>
      </c>
      <c r="Q27" s="16" t="n">
        <v>45614</v>
      </c>
      <c r="R27" s="16" t="n">
        <v>45628</v>
      </c>
      <c r="S27" s="16" t="n">
        <v>45645</v>
      </c>
      <c r="T27" s="4" t="n">
        <v>113</v>
      </c>
      <c r="U27" s="4" t="n">
        <v>16</v>
      </c>
      <c r="V27" s="4" t="n">
        <v>9</v>
      </c>
      <c r="W27" s="4" t="n">
        <v>40</v>
      </c>
      <c r="X27" s="4" t="n">
        <v>14</v>
      </c>
      <c r="Y27" s="4" t="n">
        <v>17</v>
      </c>
      <c r="Z27" s="4" t="n">
        <v>138</v>
      </c>
      <c r="AA27" s="4" t="n">
        <v>209</v>
      </c>
      <c r="AB27" s="4" t="n">
        <v>26</v>
      </c>
      <c r="AC27" s="4" t="n">
        <v>56</v>
      </c>
      <c r="AD27" s="14" t="n">
        <v>244.31</v>
      </c>
      <c r="AE27" s="9" t="n">
        <v>3</v>
      </c>
      <c r="AF27" s="14" t="n">
        <v>11220</v>
      </c>
      <c r="AG27" s="14" t="n">
        <v>15004.19</v>
      </c>
      <c r="AH27" s="4" t="s">
        <v>142</v>
      </c>
      <c r="AI27" s="4" t="s">
        <v>142</v>
      </c>
      <c r="AJ27" s="4"/>
    </row>
    <row r="28" customFormat="false" ht="15" hidden="false" customHeight="false" outlineLevel="0" collapsed="false">
      <c r="A28" s="4" t="s">
        <v>193</v>
      </c>
      <c r="B28" s="4" t="s">
        <v>194</v>
      </c>
      <c r="C28" s="4" t="s">
        <v>80</v>
      </c>
      <c r="D28" s="4" t="s">
        <v>60</v>
      </c>
      <c r="E28" s="4" t="s">
        <v>74</v>
      </c>
      <c r="F28" s="4" t="s">
        <v>139</v>
      </c>
      <c r="G28" s="4" t="s">
        <v>140</v>
      </c>
      <c r="H28" s="14" t="n">
        <v>36683.46</v>
      </c>
      <c r="I28" s="14" t="n">
        <v>15000</v>
      </c>
      <c r="J28" s="15" t="n">
        <v>0.33</v>
      </c>
      <c r="K28" s="14" t="n">
        <v>11682.58</v>
      </c>
      <c r="L28" s="14" t="n">
        <v>5250</v>
      </c>
      <c r="M28" s="16" t="n">
        <v>45456</v>
      </c>
      <c r="N28" s="16" t="n">
        <v>45670</v>
      </c>
      <c r="O28" s="16" t="n">
        <v>45685</v>
      </c>
      <c r="P28" s="16" t="n">
        <v>45702</v>
      </c>
      <c r="Q28" s="16" t="n">
        <v>45712</v>
      </c>
      <c r="R28" s="16" t="n">
        <v>45723</v>
      </c>
      <c r="S28" s="16" t="n">
        <v>45760</v>
      </c>
      <c r="T28" s="4" t="n">
        <v>214</v>
      </c>
      <c r="U28" s="4" t="n">
        <v>15</v>
      </c>
      <c r="V28" s="4" t="n">
        <v>17</v>
      </c>
      <c r="W28" s="4" t="n">
        <v>10</v>
      </c>
      <c r="X28" s="4" t="n">
        <v>11</v>
      </c>
      <c r="Y28" s="4" t="n">
        <v>37</v>
      </c>
      <c r="Z28" s="4" t="n">
        <v>246</v>
      </c>
      <c r="AA28" s="4" t="n">
        <v>304</v>
      </c>
      <c r="AB28" s="4" t="n">
        <v>54</v>
      </c>
      <c r="AC28" s="4" t="n">
        <v>25</v>
      </c>
      <c r="AD28" s="14" t="n">
        <v>6432.58</v>
      </c>
      <c r="AE28" s="9" t="n">
        <v>55.1</v>
      </c>
      <c r="AF28" s="14" t="n">
        <v>4950</v>
      </c>
      <c r="AG28" s="14" t="n">
        <v>4800</v>
      </c>
      <c r="AH28" s="4" t="s">
        <v>142</v>
      </c>
      <c r="AI28" s="4" t="s">
        <v>142</v>
      </c>
      <c r="AJ28" s="4"/>
    </row>
    <row r="29" customFormat="false" ht="15" hidden="false" customHeight="false" outlineLevel="0" collapsed="false">
      <c r="A29" s="4" t="s">
        <v>195</v>
      </c>
      <c r="B29" s="4" t="s">
        <v>196</v>
      </c>
      <c r="C29" s="4" t="s">
        <v>80</v>
      </c>
      <c r="D29" s="4" t="s">
        <v>62</v>
      </c>
      <c r="E29" s="4" t="s">
        <v>70</v>
      </c>
      <c r="F29" s="4" t="s">
        <v>139</v>
      </c>
      <c r="G29" s="4" t="s">
        <v>140</v>
      </c>
      <c r="H29" s="14" t="n">
        <v>13463.18</v>
      </c>
      <c r="I29" s="14" t="n">
        <v>14750</v>
      </c>
      <c r="J29" s="15" t="n">
        <v>0.33</v>
      </c>
      <c r="K29" s="14" t="n">
        <v>4487.79</v>
      </c>
      <c r="L29" s="14" t="n">
        <v>3762.15</v>
      </c>
      <c r="M29" s="16" t="n">
        <v>45457</v>
      </c>
      <c r="N29" s="16" t="n">
        <v>45656</v>
      </c>
      <c r="O29" s="16" t="n">
        <v>45667</v>
      </c>
      <c r="P29" s="16" t="n">
        <v>45679</v>
      </c>
      <c r="Q29" s="16" t="n">
        <v>45713</v>
      </c>
      <c r="R29" s="16" t="n">
        <v>45728</v>
      </c>
      <c r="S29" s="16" t="n">
        <v>45771</v>
      </c>
      <c r="T29" s="4" t="n">
        <v>199</v>
      </c>
      <c r="U29" s="4" t="n">
        <v>11</v>
      </c>
      <c r="V29" s="4" t="n">
        <v>12</v>
      </c>
      <c r="W29" s="4" t="n">
        <v>34</v>
      </c>
      <c r="X29" s="4" t="n">
        <v>15</v>
      </c>
      <c r="Y29" s="4" t="n">
        <v>43</v>
      </c>
      <c r="Z29" s="4" t="n">
        <v>222</v>
      </c>
      <c r="AA29" s="4" t="n">
        <v>314</v>
      </c>
      <c r="AB29" s="4" t="n">
        <v>55</v>
      </c>
      <c r="AC29" s="4" t="n">
        <v>45</v>
      </c>
      <c r="AD29" s="14" t="n">
        <v>725.64</v>
      </c>
      <c r="AE29" s="9" t="n">
        <v>16.2</v>
      </c>
      <c r="AF29" s="14" t="n">
        <v>4867.5</v>
      </c>
      <c r="AG29" s="14" t="n">
        <v>6120.35</v>
      </c>
      <c r="AH29" s="4" t="s">
        <v>142</v>
      </c>
      <c r="AI29" s="4" t="s">
        <v>142</v>
      </c>
      <c r="AJ29" s="4"/>
    </row>
    <row r="30" customFormat="false" ht="15" hidden="false" customHeight="false" outlineLevel="0" collapsed="false">
      <c r="A30" s="4" t="s">
        <v>197</v>
      </c>
      <c r="B30" s="4" t="s">
        <v>198</v>
      </c>
      <c r="C30" s="4" t="s">
        <v>81</v>
      </c>
      <c r="D30" s="4" t="s">
        <v>63</v>
      </c>
      <c r="E30" s="4" t="s">
        <v>70</v>
      </c>
      <c r="F30" s="4" t="s">
        <v>139</v>
      </c>
      <c r="G30" s="4" t="s">
        <v>140</v>
      </c>
      <c r="H30" s="14" t="n">
        <v>54278.7</v>
      </c>
      <c r="I30" s="14" t="n">
        <v>60250</v>
      </c>
      <c r="J30" s="15" t="n">
        <v>0.33</v>
      </c>
      <c r="K30" s="14" t="n">
        <v>11840.25</v>
      </c>
      <c r="L30" s="14" t="n">
        <v>9626.71</v>
      </c>
      <c r="M30" s="16" t="n">
        <v>45458</v>
      </c>
      <c r="N30" s="16" t="n">
        <v>45537</v>
      </c>
      <c r="O30" s="16" t="n">
        <v>45551</v>
      </c>
      <c r="P30" s="16" t="n">
        <v>45564</v>
      </c>
      <c r="Q30" s="16" t="n">
        <v>45640</v>
      </c>
      <c r="R30" s="16" t="n">
        <v>45659</v>
      </c>
      <c r="S30" s="16" t="n">
        <v>45674</v>
      </c>
      <c r="T30" s="4" t="n">
        <v>79</v>
      </c>
      <c r="U30" s="4" t="n">
        <v>14</v>
      </c>
      <c r="V30" s="4" t="n">
        <v>13</v>
      </c>
      <c r="W30" s="4" t="n">
        <v>76</v>
      </c>
      <c r="X30" s="4" t="n">
        <v>19</v>
      </c>
      <c r="Y30" s="4" t="n">
        <v>15</v>
      </c>
      <c r="Z30" s="4" t="n">
        <v>106</v>
      </c>
      <c r="AA30" s="4" t="n">
        <v>216</v>
      </c>
      <c r="AB30" s="4" t="n">
        <v>28</v>
      </c>
      <c r="AC30" s="4" t="n">
        <v>90</v>
      </c>
      <c r="AD30" s="14" t="n">
        <v>2213.54</v>
      </c>
      <c r="AE30" s="9" t="n">
        <v>18.7</v>
      </c>
      <c r="AF30" s="14" t="n">
        <v>19882.5</v>
      </c>
      <c r="AG30" s="14" t="n">
        <v>30740.79</v>
      </c>
      <c r="AH30" s="4" t="s">
        <v>141</v>
      </c>
      <c r="AI30" s="4" t="s">
        <v>142</v>
      </c>
      <c r="AJ30" s="4" t="s">
        <v>94</v>
      </c>
    </row>
    <row r="31" customFormat="false" ht="15" hidden="false" customHeight="false" outlineLevel="0" collapsed="false">
      <c r="A31" s="4" t="s">
        <v>199</v>
      </c>
      <c r="B31" s="4" t="s">
        <v>200</v>
      </c>
      <c r="C31" s="4" t="s">
        <v>81</v>
      </c>
      <c r="D31" s="4" t="s">
        <v>63</v>
      </c>
      <c r="E31" s="4" t="s">
        <v>72</v>
      </c>
      <c r="F31" s="4" t="s">
        <v>139</v>
      </c>
      <c r="G31" s="4" t="s">
        <v>140</v>
      </c>
      <c r="H31" s="14" t="n">
        <v>13005.67</v>
      </c>
      <c r="I31" s="14" t="n">
        <v>26000</v>
      </c>
      <c r="J31" s="15" t="n">
        <v>0.4</v>
      </c>
      <c r="K31" s="14" t="n">
        <v>4383.75</v>
      </c>
      <c r="L31" s="14" t="n">
        <v>3155.73</v>
      </c>
      <c r="M31" s="16" t="n">
        <v>45459</v>
      </c>
      <c r="N31" s="16" t="n">
        <v>45492</v>
      </c>
      <c r="O31" s="16" t="n">
        <v>45547</v>
      </c>
      <c r="P31" s="16" t="n">
        <v>45554</v>
      </c>
      <c r="Q31" s="16" t="n">
        <v>45595</v>
      </c>
      <c r="R31" s="16" t="n">
        <v>46015</v>
      </c>
      <c r="S31" s="16" t="n">
        <v>46039</v>
      </c>
      <c r="T31" s="4" t="n">
        <v>33</v>
      </c>
      <c r="U31" s="4" t="n">
        <v>55</v>
      </c>
      <c r="V31" s="4" t="n">
        <v>7</v>
      </c>
      <c r="W31" s="4" t="n">
        <v>41</v>
      </c>
      <c r="X31" s="4" t="n">
        <v>420</v>
      </c>
      <c r="Y31" s="4" t="n">
        <v>24</v>
      </c>
      <c r="Z31" s="4" t="n">
        <v>95</v>
      </c>
      <c r="AA31" s="4" t="n">
        <v>580</v>
      </c>
      <c r="AB31" s="4" t="n">
        <v>31</v>
      </c>
      <c r="AC31" s="4" t="n">
        <v>96</v>
      </c>
      <c r="AD31" s="14" t="n">
        <v>1228.02</v>
      </c>
      <c r="AE31" s="9" t="n">
        <v>28</v>
      </c>
      <c r="AF31" s="14" t="n">
        <v>10400</v>
      </c>
      <c r="AG31" s="14" t="n">
        <v>12444.27</v>
      </c>
      <c r="AH31" s="4" t="s">
        <v>141</v>
      </c>
      <c r="AI31" s="4" t="s">
        <v>142</v>
      </c>
      <c r="AJ31" s="4" t="s">
        <v>98</v>
      </c>
    </row>
    <row r="32" customFormat="false" ht="15" hidden="false" customHeight="false" outlineLevel="0" collapsed="false">
      <c r="A32" s="4" t="s">
        <v>201</v>
      </c>
      <c r="B32" s="4" t="s">
        <v>202</v>
      </c>
      <c r="C32" s="4" t="s">
        <v>80</v>
      </c>
      <c r="D32" s="4" t="s">
        <v>63</v>
      </c>
      <c r="E32" s="4" t="s">
        <v>73</v>
      </c>
      <c r="F32" s="4" t="s">
        <v>139</v>
      </c>
      <c r="G32" s="4" t="s">
        <v>140</v>
      </c>
      <c r="H32" s="14" t="n">
        <v>14408.91</v>
      </c>
      <c r="I32" s="14" t="n">
        <v>22250</v>
      </c>
      <c r="J32" s="15" t="n">
        <v>0.33</v>
      </c>
      <c r="K32" s="14" t="n">
        <v>8268.99</v>
      </c>
      <c r="L32" s="14" t="n">
        <v>2400.52</v>
      </c>
      <c r="M32" s="16" t="n">
        <v>45462</v>
      </c>
      <c r="N32" s="16" t="n">
        <v>45631</v>
      </c>
      <c r="O32" s="16" t="n">
        <v>45681</v>
      </c>
      <c r="P32" s="16" t="n">
        <v>45692</v>
      </c>
      <c r="Q32" s="16" t="n">
        <v>45746</v>
      </c>
      <c r="R32" s="16" t="n">
        <v>45770</v>
      </c>
      <c r="S32" s="16" t="n">
        <v>45810</v>
      </c>
      <c r="T32" s="4" t="n">
        <v>169</v>
      </c>
      <c r="U32" s="4" t="n">
        <v>50</v>
      </c>
      <c r="V32" s="4" t="n">
        <v>11</v>
      </c>
      <c r="W32" s="4" t="n">
        <v>54</v>
      </c>
      <c r="X32" s="4" t="n">
        <v>24</v>
      </c>
      <c r="Y32" s="4" t="n">
        <v>40</v>
      </c>
      <c r="Z32" s="4" t="n">
        <v>230</v>
      </c>
      <c r="AA32" s="4" t="n">
        <v>348</v>
      </c>
      <c r="AB32" s="4" t="n">
        <v>51</v>
      </c>
      <c r="AC32" s="4" t="n">
        <v>104</v>
      </c>
      <c r="AD32" s="14" t="n">
        <v>5868.47</v>
      </c>
      <c r="AE32" s="9" t="n">
        <v>71</v>
      </c>
      <c r="AF32" s="14" t="n">
        <v>7342.5</v>
      </c>
      <c r="AG32" s="14" t="n">
        <v>12506.98</v>
      </c>
      <c r="AH32" s="4" t="s">
        <v>141</v>
      </c>
      <c r="AI32" s="4" t="s">
        <v>142</v>
      </c>
      <c r="AJ32" s="4" t="s">
        <v>101</v>
      </c>
    </row>
    <row r="33" customFormat="false" ht="15" hidden="false" customHeight="false" outlineLevel="0" collapsed="false">
      <c r="A33" s="4" t="s">
        <v>203</v>
      </c>
      <c r="B33" s="4" t="s">
        <v>204</v>
      </c>
      <c r="C33" s="4" t="s">
        <v>81</v>
      </c>
      <c r="D33" s="4" t="s">
        <v>59</v>
      </c>
      <c r="E33" s="4" t="s">
        <v>70</v>
      </c>
      <c r="F33" s="4" t="s">
        <v>139</v>
      </c>
      <c r="G33" s="4" t="s">
        <v>140</v>
      </c>
      <c r="H33" s="14" t="n">
        <v>16632.04</v>
      </c>
      <c r="I33" s="14" t="n">
        <v>32750</v>
      </c>
      <c r="J33" s="15" t="n">
        <v>0.33</v>
      </c>
      <c r="K33" s="14" t="n">
        <v>4757.78</v>
      </c>
      <c r="L33" s="14" t="n">
        <v>2362.57</v>
      </c>
      <c r="M33" s="16" t="n">
        <v>45466</v>
      </c>
      <c r="N33" s="16" t="n">
        <v>45652</v>
      </c>
      <c r="O33" s="16" t="n">
        <v>45665</v>
      </c>
      <c r="P33" s="16" t="n">
        <v>45680</v>
      </c>
      <c r="Q33" s="16" t="n">
        <v>45718</v>
      </c>
      <c r="R33" s="16" t="n">
        <v>45733</v>
      </c>
      <c r="S33" s="16" t="n">
        <v>45759</v>
      </c>
      <c r="T33" s="4" t="n">
        <v>186</v>
      </c>
      <c r="U33" s="4" t="n">
        <v>13</v>
      </c>
      <c r="V33" s="4" t="n">
        <v>15</v>
      </c>
      <c r="W33" s="4" t="n">
        <v>38</v>
      </c>
      <c r="X33" s="4" t="n">
        <v>15</v>
      </c>
      <c r="Y33" s="4" t="n">
        <v>26</v>
      </c>
      <c r="Z33" s="4" t="n">
        <v>214</v>
      </c>
      <c r="AA33" s="4" t="n">
        <v>293</v>
      </c>
      <c r="AB33" s="4" t="n">
        <v>41</v>
      </c>
      <c r="AC33" s="4" t="n">
        <v>51</v>
      </c>
      <c r="AD33" s="14" t="n">
        <v>2395.21</v>
      </c>
      <c r="AE33" s="9" t="n">
        <v>50.3</v>
      </c>
      <c r="AF33" s="14" t="n">
        <v>10807.5</v>
      </c>
      <c r="AG33" s="14" t="n">
        <v>19579.93</v>
      </c>
      <c r="AH33" s="4" t="s">
        <v>142</v>
      </c>
      <c r="AI33" s="4" t="s">
        <v>142</v>
      </c>
      <c r="AJ33" s="4"/>
    </row>
    <row r="34" customFormat="false" ht="15" hidden="false" customHeight="false" outlineLevel="0" collapsed="false">
      <c r="A34" s="4" t="s">
        <v>205</v>
      </c>
      <c r="B34" s="4" t="s">
        <v>206</v>
      </c>
      <c r="C34" s="4" t="s">
        <v>80</v>
      </c>
      <c r="D34" s="4" t="s">
        <v>60</v>
      </c>
      <c r="E34" s="4" t="s">
        <v>72</v>
      </c>
      <c r="F34" s="4" t="s">
        <v>139</v>
      </c>
      <c r="G34" s="4" t="s">
        <v>140</v>
      </c>
      <c r="H34" s="14" t="n">
        <v>39447.72</v>
      </c>
      <c r="I34" s="14" t="n">
        <v>73500</v>
      </c>
      <c r="J34" s="15" t="n">
        <v>0.33</v>
      </c>
      <c r="K34" s="14" t="n">
        <v>4671.1</v>
      </c>
      <c r="L34" s="14" t="n">
        <v>2518.15</v>
      </c>
      <c r="M34" s="16" t="n">
        <v>45469</v>
      </c>
      <c r="N34" s="16" t="n">
        <v>45639</v>
      </c>
      <c r="O34" s="16" t="n">
        <v>45660</v>
      </c>
      <c r="P34" s="16" t="n">
        <v>45676</v>
      </c>
      <c r="Q34" s="16" t="n">
        <v>45712</v>
      </c>
      <c r="R34" s="16" t="n">
        <v>45748</v>
      </c>
      <c r="S34" s="16" t="n">
        <v>45794</v>
      </c>
      <c r="T34" s="4" t="n">
        <v>170</v>
      </c>
      <c r="U34" s="4" t="n">
        <v>21</v>
      </c>
      <c r="V34" s="4" t="n">
        <v>16</v>
      </c>
      <c r="W34" s="4" t="n">
        <v>36</v>
      </c>
      <c r="X34" s="4" t="n">
        <v>36</v>
      </c>
      <c r="Y34" s="4" t="n">
        <v>46</v>
      </c>
      <c r="Z34" s="4" t="n">
        <v>207</v>
      </c>
      <c r="AA34" s="4" t="n">
        <v>325</v>
      </c>
      <c r="AB34" s="4" t="n">
        <v>62</v>
      </c>
      <c r="AC34" s="4" t="n">
        <v>57</v>
      </c>
      <c r="AD34" s="14" t="n">
        <v>2152.95</v>
      </c>
      <c r="AE34" s="9" t="n">
        <v>46.1</v>
      </c>
      <c r="AF34" s="14" t="n">
        <v>24255</v>
      </c>
      <c r="AG34" s="14" t="n">
        <v>46726.85</v>
      </c>
      <c r="AH34" s="4" t="s">
        <v>142</v>
      </c>
      <c r="AI34" s="4" t="s">
        <v>142</v>
      </c>
      <c r="AJ34" s="4"/>
    </row>
    <row r="35" customFormat="false" ht="15" hidden="false" customHeight="false" outlineLevel="0" collapsed="false">
      <c r="A35" s="4" t="s">
        <v>207</v>
      </c>
      <c r="B35" s="4" t="s">
        <v>208</v>
      </c>
      <c r="C35" s="4" t="s">
        <v>82</v>
      </c>
      <c r="D35" s="4" t="s">
        <v>60</v>
      </c>
      <c r="E35" s="4" t="s">
        <v>74</v>
      </c>
      <c r="F35" s="4" t="s">
        <v>139</v>
      </c>
      <c r="G35" s="4" t="s">
        <v>140</v>
      </c>
      <c r="H35" s="14" t="n">
        <v>35131.01</v>
      </c>
      <c r="I35" s="14" t="n">
        <v>15000</v>
      </c>
      <c r="J35" s="15" t="n">
        <v>0.4</v>
      </c>
      <c r="K35" s="14" t="n">
        <v>0</v>
      </c>
      <c r="L35" s="14" t="n">
        <v>0</v>
      </c>
      <c r="M35" s="16" t="n">
        <v>45470</v>
      </c>
      <c r="N35" s="16" t="n">
        <v>45658</v>
      </c>
      <c r="O35" s="16" t="n">
        <v>45669</v>
      </c>
      <c r="P35" s="16" t="n">
        <v>45678</v>
      </c>
      <c r="Q35" s="16" t="n">
        <v>45722</v>
      </c>
      <c r="R35" s="16" t="n">
        <v>46101</v>
      </c>
      <c r="S35" s="16" t="n">
        <v>46130</v>
      </c>
      <c r="T35" s="4" t="n">
        <v>188</v>
      </c>
      <c r="U35" s="4" t="n">
        <v>11</v>
      </c>
      <c r="V35" s="4" t="n">
        <v>9</v>
      </c>
      <c r="W35" s="4" t="n">
        <v>44</v>
      </c>
      <c r="X35" s="4" t="n">
        <v>379</v>
      </c>
      <c r="Y35" s="4" t="n">
        <v>29</v>
      </c>
      <c r="Z35" s="4" t="n">
        <v>208</v>
      </c>
      <c r="AA35" s="4" t="n">
        <v>660</v>
      </c>
      <c r="AB35" s="4" t="n">
        <v>38</v>
      </c>
      <c r="AC35" s="4" t="n">
        <v>55</v>
      </c>
      <c r="AD35" s="14" t="n">
        <v>0</v>
      </c>
      <c r="AE35" s="9"/>
      <c r="AF35" s="14" t="n">
        <v>6000</v>
      </c>
      <c r="AG35" s="14" t="n">
        <v>9000</v>
      </c>
      <c r="AH35" s="4" t="s">
        <v>142</v>
      </c>
      <c r="AI35" s="4" t="s">
        <v>142</v>
      </c>
      <c r="AJ35" s="4"/>
    </row>
    <row r="36" customFormat="false" ht="15" hidden="false" customHeight="false" outlineLevel="0" collapsed="false">
      <c r="A36" s="4" t="s">
        <v>209</v>
      </c>
      <c r="B36" s="4" t="s">
        <v>210</v>
      </c>
      <c r="C36" s="4" t="s">
        <v>83</v>
      </c>
      <c r="D36" s="4" t="s">
        <v>61</v>
      </c>
      <c r="E36" s="4" t="s">
        <v>74</v>
      </c>
      <c r="F36" s="4" t="s">
        <v>139</v>
      </c>
      <c r="G36" s="4" t="s">
        <v>140</v>
      </c>
      <c r="H36" s="14" t="n">
        <v>6654.64</v>
      </c>
      <c r="I36" s="14" t="n">
        <v>9250</v>
      </c>
      <c r="J36" s="15" t="n">
        <v>0.33</v>
      </c>
      <c r="K36" s="14" t="n">
        <v>1833.06</v>
      </c>
      <c r="L36" s="14" t="n">
        <v>561.15</v>
      </c>
      <c r="M36" s="16" t="n">
        <v>45475</v>
      </c>
      <c r="N36" s="16" t="n">
        <v>45563</v>
      </c>
      <c r="O36" s="16" t="n">
        <v>45591</v>
      </c>
      <c r="P36" s="16" t="n">
        <v>45601</v>
      </c>
      <c r="Q36" s="16" t="n">
        <v>45695</v>
      </c>
      <c r="R36" s="16" t="n">
        <v>45729</v>
      </c>
      <c r="S36" s="16" t="n">
        <v>45756</v>
      </c>
      <c r="T36" s="4" t="n">
        <v>88</v>
      </c>
      <c r="U36" s="4" t="n">
        <v>28</v>
      </c>
      <c r="V36" s="4" t="n">
        <v>10</v>
      </c>
      <c r="W36" s="4" t="n">
        <v>94</v>
      </c>
      <c r="X36" s="4" t="n">
        <v>34</v>
      </c>
      <c r="Y36" s="4" t="n">
        <v>27</v>
      </c>
      <c r="Z36" s="4" t="n">
        <v>126</v>
      </c>
      <c r="AA36" s="4" t="n">
        <v>281</v>
      </c>
      <c r="AB36" s="4" t="n">
        <v>37</v>
      </c>
      <c r="AC36" s="4" t="n">
        <v>122</v>
      </c>
      <c r="AD36" s="14" t="n">
        <v>1271.91</v>
      </c>
      <c r="AE36" s="9" t="n">
        <v>69.4</v>
      </c>
      <c r="AF36" s="14" t="n">
        <v>3052.5</v>
      </c>
      <c r="AG36" s="14" t="n">
        <v>5636.35</v>
      </c>
      <c r="AH36" s="4" t="s">
        <v>141</v>
      </c>
      <c r="AI36" s="4" t="s">
        <v>142</v>
      </c>
      <c r="AJ36" s="4" t="s">
        <v>94</v>
      </c>
    </row>
    <row r="37" customFormat="false" ht="15" hidden="false" customHeight="false" outlineLevel="0" collapsed="false">
      <c r="A37" s="4" t="s">
        <v>211</v>
      </c>
      <c r="B37" s="4" t="s">
        <v>212</v>
      </c>
      <c r="C37" s="4" t="s">
        <v>80</v>
      </c>
      <c r="D37" s="4" t="s">
        <v>59</v>
      </c>
      <c r="E37" s="4" t="s">
        <v>70</v>
      </c>
      <c r="F37" s="4" t="s">
        <v>139</v>
      </c>
      <c r="G37" s="4" t="s">
        <v>140</v>
      </c>
      <c r="H37" s="14" t="n">
        <v>35068.13</v>
      </c>
      <c r="I37" s="14" t="n">
        <v>50000</v>
      </c>
      <c r="J37" s="15" t="n">
        <v>0.33</v>
      </c>
      <c r="K37" s="14" t="n">
        <v>15000</v>
      </c>
      <c r="L37" s="14" t="n">
        <v>14387.88</v>
      </c>
      <c r="M37" s="16" t="n">
        <v>45476</v>
      </c>
      <c r="N37" s="16" t="n">
        <v>45758</v>
      </c>
      <c r="O37" s="16" t="n">
        <v>45766</v>
      </c>
      <c r="P37" s="16" t="n">
        <v>45772</v>
      </c>
      <c r="Q37" s="16" t="n">
        <v>45799</v>
      </c>
      <c r="R37" s="16" t="n">
        <v>45816</v>
      </c>
      <c r="S37" s="16" t="n">
        <v>45836</v>
      </c>
      <c r="T37" s="4" t="n">
        <v>282</v>
      </c>
      <c r="U37" s="4" t="n">
        <v>8</v>
      </c>
      <c r="V37" s="4" t="n">
        <v>6</v>
      </c>
      <c r="W37" s="4" t="n">
        <v>27</v>
      </c>
      <c r="X37" s="4" t="n">
        <v>17</v>
      </c>
      <c r="Y37" s="4" t="n">
        <v>20</v>
      </c>
      <c r="Z37" s="4" t="n">
        <v>296</v>
      </c>
      <c r="AA37" s="4" t="n">
        <v>360</v>
      </c>
      <c r="AB37" s="4" t="n">
        <v>26</v>
      </c>
      <c r="AC37" s="4" t="n">
        <v>35</v>
      </c>
      <c r="AD37" s="14" t="n">
        <v>612.12</v>
      </c>
      <c r="AE37" s="9" t="n">
        <v>4.1</v>
      </c>
      <c r="AF37" s="14" t="n">
        <v>16500</v>
      </c>
      <c r="AG37" s="14" t="n">
        <v>19112.12</v>
      </c>
      <c r="AH37" s="4" t="s">
        <v>142</v>
      </c>
      <c r="AI37" s="4" t="s">
        <v>142</v>
      </c>
      <c r="AJ37" s="4"/>
    </row>
    <row r="38" customFormat="false" ht="15" hidden="false" customHeight="false" outlineLevel="0" collapsed="false">
      <c r="A38" s="4" t="s">
        <v>213</v>
      </c>
      <c r="B38" s="4" t="s">
        <v>214</v>
      </c>
      <c r="C38" s="4" t="s">
        <v>80</v>
      </c>
      <c r="D38" s="4" t="s">
        <v>60</v>
      </c>
      <c r="E38" s="4" t="s">
        <v>73</v>
      </c>
      <c r="F38" s="4" t="s">
        <v>139</v>
      </c>
      <c r="G38" s="4" t="s">
        <v>140</v>
      </c>
      <c r="H38" s="14" t="n">
        <v>9431.25</v>
      </c>
      <c r="I38" s="14" t="n">
        <v>22500</v>
      </c>
      <c r="J38" s="15" t="n">
        <v>0.33</v>
      </c>
      <c r="K38" s="14" t="n">
        <v>2132.7</v>
      </c>
      <c r="L38" s="14" t="n">
        <v>627.45</v>
      </c>
      <c r="M38" s="16" t="n">
        <v>45481</v>
      </c>
      <c r="N38" s="16" t="n">
        <v>45679</v>
      </c>
      <c r="O38" s="16" t="n">
        <v>45744</v>
      </c>
      <c r="P38" s="16" t="n">
        <v>45756</v>
      </c>
      <c r="Q38" s="16" t="n">
        <v>45796</v>
      </c>
      <c r="R38" s="16" t="n">
        <v>45809</v>
      </c>
      <c r="S38" s="16" t="n">
        <v>45850</v>
      </c>
      <c r="T38" s="4" t="n">
        <v>198</v>
      </c>
      <c r="U38" s="4" t="n">
        <v>65</v>
      </c>
      <c r="V38" s="4" t="n">
        <v>12</v>
      </c>
      <c r="W38" s="4" t="n">
        <v>40</v>
      </c>
      <c r="X38" s="4" t="n">
        <v>13</v>
      </c>
      <c r="Y38" s="4" t="n">
        <v>41</v>
      </c>
      <c r="Z38" s="4" t="n">
        <v>275</v>
      </c>
      <c r="AA38" s="4" t="n">
        <v>369</v>
      </c>
      <c r="AB38" s="4" t="n">
        <v>53</v>
      </c>
      <c r="AC38" s="4" t="n">
        <v>105</v>
      </c>
      <c r="AD38" s="14" t="n">
        <v>1505.25</v>
      </c>
      <c r="AE38" s="9" t="n">
        <v>70.6</v>
      </c>
      <c r="AF38" s="14" t="n">
        <v>7425</v>
      </c>
      <c r="AG38" s="14" t="n">
        <v>14447.55</v>
      </c>
      <c r="AH38" s="4" t="s">
        <v>141</v>
      </c>
      <c r="AI38" s="4" t="s">
        <v>142</v>
      </c>
      <c r="AJ38" s="4" t="s">
        <v>98</v>
      </c>
    </row>
    <row r="39" customFormat="false" ht="15" hidden="false" customHeight="false" outlineLevel="0" collapsed="false">
      <c r="A39" s="4" t="s">
        <v>215</v>
      </c>
      <c r="B39" s="4" t="s">
        <v>216</v>
      </c>
      <c r="C39" s="4" t="s">
        <v>83</v>
      </c>
      <c r="D39" s="4" t="s">
        <v>60</v>
      </c>
      <c r="E39" s="4" t="s">
        <v>74</v>
      </c>
      <c r="F39" s="4" t="s">
        <v>139</v>
      </c>
      <c r="G39" s="4" t="s">
        <v>140</v>
      </c>
      <c r="H39" s="14" t="n">
        <v>33182.07</v>
      </c>
      <c r="I39" s="14" t="n">
        <v>70750</v>
      </c>
      <c r="J39" s="15" t="n">
        <v>0.4</v>
      </c>
      <c r="K39" s="14" t="n">
        <v>8175.04</v>
      </c>
      <c r="L39" s="14" t="n">
        <v>5646.58</v>
      </c>
      <c r="M39" s="16" t="n">
        <v>45482</v>
      </c>
      <c r="N39" s="16" t="n">
        <v>45566</v>
      </c>
      <c r="O39" s="16" t="n">
        <v>45603</v>
      </c>
      <c r="P39" s="16" t="n">
        <v>45617</v>
      </c>
      <c r="Q39" s="16" t="n">
        <v>45632</v>
      </c>
      <c r="R39" s="16" t="n">
        <v>45889</v>
      </c>
      <c r="S39" s="16" t="n">
        <v>45931</v>
      </c>
      <c r="T39" s="4" t="n">
        <v>84</v>
      </c>
      <c r="U39" s="4" t="n">
        <v>37</v>
      </c>
      <c r="V39" s="4" t="n">
        <v>14</v>
      </c>
      <c r="W39" s="4" t="n">
        <v>15</v>
      </c>
      <c r="X39" s="4" t="n">
        <v>257</v>
      </c>
      <c r="Y39" s="4" t="n">
        <v>42</v>
      </c>
      <c r="Z39" s="4" t="n">
        <v>135</v>
      </c>
      <c r="AA39" s="4" t="n">
        <v>449</v>
      </c>
      <c r="AB39" s="4" t="n">
        <v>56</v>
      </c>
      <c r="AC39" s="4" t="n">
        <v>52</v>
      </c>
      <c r="AD39" s="14" t="n">
        <v>2528.46</v>
      </c>
      <c r="AE39" s="9" t="n">
        <v>30.9</v>
      </c>
      <c r="AF39" s="14" t="n">
        <v>28300</v>
      </c>
      <c r="AG39" s="14" t="n">
        <v>36803.42</v>
      </c>
      <c r="AH39" s="4" t="s">
        <v>142</v>
      </c>
      <c r="AI39" s="4" t="s">
        <v>142</v>
      </c>
      <c r="AJ39" s="4"/>
    </row>
    <row r="40" customFormat="false" ht="15" hidden="false" customHeight="false" outlineLevel="0" collapsed="false">
      <c r="A40" s="4" t="s">
        <v>217</v>
      </c>
      <c r="B40" s="4" t="s">
        <v>218</v>
      </c>
      <c r="C40" s="4" t="s">
        <v>82</v>
      </c>
      <c r="D40" s="4" t="s">
        <v>61</v>
      </c>
      <c r="E40" s="4" t="s">
        <v>74</v>
      </c>
      <c r="F40" s="4" t="s">
        <v>139</v>
      </c>
      <c r="G40" s="4" t="s">
        <v>140</v>
      </c>
      <c r="H40" s="14" t="n">
        <v>33096.13</v>
      </c>
      <c r="I40" s="14" t="n">
        <v>12000</v>
      </c>
      <c r="J40" s="15" t="n">
        <v>0.33</v>
      </c>
      <c r="K40" s="14" t="n">
        <v>6958.75</v>
      </c>
      <c r="L40" s="14" t="n">
        <v>4200</v>
      </c>
      <c r="M40" s="16" t="n">
        <v>45486</v>
      </c>
      <c r="N40" s="16" t="n">
        <v>45634</v>
      </c>
      <c r="O40" s="16" t="n">
        <v>45662</v>
      </c>
      <c r="P40" s="16" t="n">
        <v>45680</v>
      </c>
      <c r="Q40" s="16" t="n">
        <v>45725</v>
      </c>
      <c r="R40" s="16" t="n">
        <v>45794</v>
      </c>
      <c r="S40" s="16" t="n">
        <v>45820</v>
      </c>
      <c r="T40" s="4" t="n">
        <v>148</v>
      </c>
      <c r="U40" s="4" t="n">
        <v>28</v>
      </c>
      <c r="V40" s="4" t="n">
        <v>18</v>
      </c>
      <c r="W40" s="4" t="n">
        <v>45</v>
      </c>
      <c r="X40" s="4" t="n">
        <v>69</v>
      </c>
      <c r="Y40" s="4" t="n">
        <v>26</v>
      </c>
      <c r="Z40" s="4" t="n">
        <v>194</v>
      </c>
      <c r="AA40" s="4" t="n">
        <v>334</v>
      </c>
      <c r="AB40" s="4" t="n">
        <v>44</v>
      </c>
      <c r="AC40" s="4" t="n">
        <v>73</v>
      </c>
      <c r="AD40" s="14" t="n">
        <v>2758.75</v>
      </c>
      <c r="AE40" s="9" t="n">
        <v>39.6</v>
      </c>
      <c r="AF40" s="14" t="n">
        <v>3960</v>
      </c>
      <c r="AG40" s="14" t="n">
        <v>3840</v>
      </c>
      <c r="AH40" s="4" t="s">
        <v>142</v>
      </c>
      <c r="AI40" s="4" t="s">
        <v>142</v>
      </c>
      <c r="AJ40" s="4"/>
    </row>
    <row r="41" customFormat="false" ht="15" hidden="false" customHeight="false" outlineLevel="0" collapsed="false">
      <c r="A41" s="4" t="s">
        <v>219</v>
      </c>
      <c r="B41" s="4" t="s">
        <v>220</v>
      </c>
      <c r="C41" s="4" t="s">
        <v>80</v>
      </c>
      <c r="D41" s="4" t="s">
        <v>62</v>
      </c>
      <c r="E41" s="4" t="s">
        <v>72</v>
      </c>
      <c r="F41" s="4" t="s">
        <v>139</v>
      </c>
      <c r="G41" s="4" t="s">
        <v>140</v>
      </c>
      <c r="H41" s="14" t="n">
        <v>18221.09</v>
      </c>
      <c r="I41" s="14" t="n">
        <v>61250</v>
      </c>
      <c r="J41" s="15" t="n">
        <v>0.4</v>
      </c>
      <c r="K41" s="14" t="n">
        <v>4817.74</v>
      </c>
      <c r="L41" s="14" t="n">
        <v>1863.48</v>
      </c>
      <c r="M41" s="16" t="n">
        <v>45496</v>
      </c>
      <c r="N41" s="16" t="n">
        <v>45598</v>
      </c>
      <c r="O41" s="16" t="n">
        <v>45684</v>
      </c>
      <c r="P41" s="16" t="n">
        <v>45706</v>
      </c>
      <c r="Q41" s="16" t="n">
        <v>45736</v>
      </c>
      <c r="R41" s="16" t="n">
        <v>46006</v>
      </c>
      <c r="S41" s="16" t="n">
        <v>46041</v>
      </c>
      <c r="T41" s="4" t="n">
        <v>102</v>
      </c>
      <c r="U41" s="4" t="n">
        <v>86</v>
      </c>
      <c r="V41" s="4" t="n">
        <v>22</v>
      </c>
      <c r="W41" s="4" t="n">
        <v>30</v>
      </c>
      <c r="X41" s="4" t="n">
        <v>270</v>
      </c>
      <c r="Y41" s="4" t="n">
        <v>35</v>
      </c>
      <c r="Z41" s="4" t="n">
        <v>210</v>
      </c>
      <c r="AA41" s="4" t="n">
        <v>545</v>
      </c>
      <c r="AB41" s="4" t="n">
        <v>57</v>
      </c>
      <c r="AC41" s="4" t="n">
        <v>116</v>
      </c>
      <c r="AD41" s="14" t="n">
        <v>2954.26</v>
      </c>
      <c r="AE41" s="9" t="n">
        <v>61.3</v>
      </c>
      <c r="AF41" s="14" t="n">
        <v>24500</v>
      </c>
      <c r="AG41" s="14" t="n">
        <v>34886.52</v>
      </c>
      <c r="AH41" s="4" t="s">
        <v>141</v>
      </c>
      <c r="AI41" s="4" t="s">
        <v>142</v>
      </c>
      <c r="AJ41" s="4" t="s">
        <v>98</v>
      </c>
    </row>
    <row r="42" customFormat="false" ht="15" hidden="false" customHeight="false" outlineLevel="0" collapsed="false">
      <c r="A42" s="4" t="s">
        <v>221</v>
      </c>
      <c r="B42" s="4" t="s">
        <v>222</v>
      </c>
      <c r="C42" s="4" t="s">
        <v>80</v>
      </c>
      <c r="D42" s="4" t="s">
        <v>61</v>
      </c>
      <c r="E42" s="4" t="s">
        <v>74</v>
      </c>
      <c r="F42" s="4" t="s">
        <v>139</v>
      </c>
      <c r="G42" s="4" t="s">
        <v>140</v>
      </c>
      <c r="H42" s="14" t="n">
        <v>9038.89</v>
      </c>
      <c r="I42" s="14" t="n">
        <v>23500</v>
      </c>
      <c r="J42" s="15" t="n">
        <v>0.33</v>
      </c>
      <c r="K42" s="14" t="n">
        <v>2975.96</v>
      </c>
      <c r="L42" s="14" t="n">
        <v>1362.45</v>
      </c>
      <c r="M42" s="16" t="n">
        <v>45500</v>
      </c>
      <c r="N42" s="16" t="n">
        <v>45579</v>
      </c>
      <c r="O42" s="16" t="n">
        <v>45602</v>
      </c>
      <c r="P42" s="16" t="n">
        <v>45614</v>
      </c>
      <c r="Q42" s="16" t="n">
        <v>45631</v>
      </c>
      <c r="R42" s="16" t="n">
        <v>45661</v>
      </c>
      <c r="S42" s="16" t="n">
        <v>45676</v>
      </c>
      <c r="T42" s="4" t="n">
        <v>79</v>
      </c>
      <c r="U42" s="4" t="n">
        <v>23</v>
      </c>
      <c r="V42" s="4" t="n">
        <v>12</v>
      </c>
      <c r="W42" s="4" t="n">
        <v>17</v>
      </c>
      <c r="X42" s="4" t="n">
        <v>30</v>
      </c>
      <c r="Y42" s="4" t="n">
        <v>15</v>
      </c>
      <c r="Z42" s="4" t="n">
        <v>114</v>
      </c>
      <c r="AA42" s="4" t="n">
        <v>176</v>
      </c>
      <c r="AB42" s="4" t="n">
        <v>27</v>
      </c>
      <c r="AC42" s="4" t="n">
        <v>40</v>
      </c>
      <c r="AD42" s="14" t="n">
        <v>1613.51</v>
      </c>
      <c r="AE42" s="9" t="n">
        <v>54.2</v>
      </c>
      <c r="AF42" s="14" t="n">
        <v>7755</v>
      </c>
      <c r="AG42" s="14" t="n">
        <v>14382.55</v>
      </c>
      <c r="AH42" s="4" t="s">
        <v>142</v>
      </c>
      <c r="AI42" s="4" t="s">
        <v>142</v>
      </c>
      <c r="AJ42" s="4"/>
    </row>
    <row r="43" customFormat="false" ht="15" hidden="false" customHeight="false" outlineLevel="0" collapsed="false">
      <c r="A43" s="4" t="s">
        <v>223</v>
      </c>
      <c r="B43" s="4" t="s">
        <v>224</v>
      </c>
      <c r="C43" s="4" t="s">
        <v>80</v>
      </c>
      <c r="D43" s="4" t="s">
        <v>63</v>
      </c>
      <c r="E43" s="4" t="s">
        <v>74</v>
      </c>
      <c r="F43" s="4" t="s">
        <v>139</v>
      </c>
      <c r="G43" s="4" t="s">
        <v>140</v>
      </c>
      <c r="H43" s="14" t="n">
        <v>83650.82</v>
      </c>
      <c r="I43" s="14" t="n">
        <v>42000</v>
      </c>
      <c r="J43" s="15" t="n">
        <v>0.33</v>
      </c>
      <c r="K43" s="14" t="n">
        <v>12600</v>
      </c>
      <c r="L43" s="14" t="n">
        <v>11842.56</v>
      </c>
      <c r="M43" s="16" t="n">
        <v>45508</v>
      </c>
      <c r="N43" s="16" t="n">
        <v>45649</v>
      </c>
      <c r="O43" s="16" t="n">
        <v>45669</v>
      </c>
      <c r="P43" s="16" t="n">
        <v>45680</v>
      </c>
      <c r="Q43" s="16" t="n">
        <v>45753</v>
      </c>
      <c r="R43" s="16" t="n">
        <v>45774</v>
      </c>
      <c r="S43" s="16" t="n">
        <v>45806</v>
      </c>
      <c r="T43" s="4" t="n">
        <v>141</v>
      </c>
      <c r="U43" s="4" t="n">
        <v>20</v>
      </c>
      <c r="V43" s="4" t="n">
        <v>11</v>
      </c>
      <c r="W43" s="4" t="n">
        <v>73</v>
      </c>
      <c r="X43" s="4" t="n">
        <v>21</v>
      </c>
      <c r="Y43" s="4" t="n">
        <v>32</v>
      </c>
      <c r="Z43" s="4" t="n">
        <v>172</v>
      </c>
      <c r="AA43" s="4" t="n">
        <v>298</v>
      </c>
      <c r="AB43" s="4" t="n">
        <v>43</v>
      </c>
      <c r="AC43" s="4" t="n">
        <v>93</v>
      </c>
      <c r="AD43" s="14" t="n">
        <v>757.44</v>
      </c>
      <c r="AE43" s="9" t="n">
        <v>6</v>
      </c>
      <c r="AF43" s="14" t="n">
        <v>13860</v>
      </c>
      <c r="AG43" s="14" t="n">
        <v>16297.44</v>
      </c>
      <c r="AH43" s="4" t="s">
        <v>141</v>
      </c>
      <c r="AI43" s="4" t="s">
        <v>142</v>
      </c>
      <c r="AJ43" s="4" t="s">
        <v>94</v>
      </c>
    </row>
    <row r="44" customFormat="false" ht="15" hidden="false" customHeight="false" outlineLevel="0" collapsed="false">
      <c r="A44" s="4" t="s">
        <v>225</v>
      </c>
      <c r="B44" s="4" t="s">
        <v>226</v>
      </c>
      <c r="C44" s="4" t="s">
        <v>80</v>
      </c>
      <c r="D44" s="4" t="s">
        <v>59</v>
      </c>
      <c r="E44" s="4" t="s">
        <v>71</v>
      </c>
      <c r="F44" s="4" t="s">
        <v>139</v>
      </c>
      <c r="G44" s="4" t="s">
        <v>140</v>
      </c>
      <c r="H44" s="14" t="n">
        <v>38581.17</v>
      </c>
      <c r="I44" s="14" t="n">
        <v>15000</v>
      </c>
      <c r="J44" s="15" t="n">
        <v>0.33</v>
      </c>
      <c r="K44" s="14" t="n">
        <v>4457.51</v>
      </c>
      <c r="L44" s="14" t="n">
        <v>2794.05</v>
      </c>
      <c r="M44" s="16" t="n">
        <v>45509</v>
      </c>
      <c r="N44" s="16" t="n">
        <v>45865</v>
      </c>
      <c r="O44" s="16" t="n">
        <v>45889</v>
      </c>
      <c r="P44" s="16" t="n">
        <v>45895</v>
      </c>
      <c r="Q44" s="16" t="n">
        <v>45926</v>
      </c>
      <c r="R44" s="16" t="n">
        <v>45968</v>
      </c>
      <c r="S44" s="16" t="n">
        <v>46005</v>
      </c>
      <c r="T44" s="4" t="n">
        <v>356</v>
      </c>
      <c r="U44" s="4" t="n">
        <v>24</v>
      </c>
      <c r="V44" s="4" t="n">
        <v>6</v>
      </c>
      <c r="W44" s="4" t="n">
        <v>31</v>
      </c>
      <c r="X44" s="4" t="n">
        <v>42</v>
      </c>
      <c r="Y44" s="4" t="n">
        <v>37</v>
      </c>
      <c r="Z44" s="4" t="n">
        <v>386</v>
      </c>
      <c r="AA44" s="4" t="n">
        <v>496</v>
      </c>
      <c r="AB44" s="4" t="n">
        <v>43</v>
      </c>
      <c r="AC44" s="4" t="n">
        <v>55</v>
      </c>
      <c r="AD44" s="14" t="n">
        <v>1663.46</v>
      </c>
      <c r="AE44" s="9" t="n">
        <v>37.3</v>
      </c>
      <c r="AF44" s="14" t="n">
        <v>4950</v>
      </c>
      <c r="AG44" s="14" t="n">
        <v>7255.95</v>
      </c>
      <c r="AH44" s="4" t="s">
        <v>142</v>
      </c>
      <c r="AI44" s="4" t="s">
        <v>142</v>
      </c>
      <c r="AJ44" s="4"/>
    </row>
    <row r="45" customFormat="false" ht="15" hidden="false" customHeight="false" outlineLevel="0" collapsed="false">
      <c r="A45" s="4" t="s">
        <v>227</v>
      </c>
      <c r="B45" s="4" t="s">
        <v>228</v>
      </c>
      <c r="C45" s="4" t="s">
        <v>80</v>
      </c>
      <c r="D45" s="4" t="s">
        <v>63</v>
      </c>
      <c r="E45" s="4" t="s">
        <v>74</v>
      </c>
      <c r="F45" s="4" t="s">
        <v>139</v>
      </c>
      <c r="G45" s="4" t="s">
        <v>140</v>
      </c>
      <c r="H45" s="14" t="n">
        <v>53616.72</v>
      </c>
      <c r="I45" s="14" t="n">
        <v>100000</v>
      </c>
      <c r="J45" s="15" t="n">
        <v>0.4</v>
      </c>
      <c r="K45" s="14" t="n">
        <v>15886.54</v>
      </c>
      <c r="L45" s="14" t="n">
        <v>10090.93</v>
      </c>
      <c r="M45" s="16" t="n">
        <v>45512</v>
      </c>
      <c r="N45" s="16" t="n">
        <v>45577</v>
      </c>
      <c r="O45" s="16" t="n">
        <v>45601</v>
      </c>
      <c r="P45" s="16" t="n">
        <v>45616</v>
      </c>
      <c r="Q45" s="16" t="n">
        <v>45670</v>
      </c>
      <c r="R45" s="16" t="n">
        <v>45925</v>
      </c>
      <c r="S45" s="16" t="n">
        <v>45990</v>
      </c>
      <c r="T45" s="4" t="n">
        <v>65</v>
      </c>
      <c r="U45" s="4" t="n">
        <v>24</v>
      </c>
      <c r="V45" s="4" t="n">
        <v>15</v>
      </c>
      <c r="W45" s="4" t="n">
        <v>54</v>
      </c>
      <c r="X45" s="4" t="n">
        <v>255</v>
      </c>
      <c r="Y45" s="4" t="n">
        <v>65</v>
      </c>
      <c r="Z45" s="4" t="n">
        <v>104</v>
      </c>
      <c r="AA45" s="4" t="n">
        <v>478</v>
      </c>
      <c r="AB45" s="4" t="n">
        <v>80</v>
      </c>
      <c r="AC45" s="4" t="n">
        <v>78</v>
      </c>
      <c r="AD45" s="14" t="n">
        <v>5795.61</v>
      </c>
      <c r="AE45" s="9" t="n">
        <v>36.5</v>
      </c>
      <c r="AF45" s="14" t="n">
        <v>40000</v>
      </c>
      <c r="AG45" s="14" t="n">
        <v>49909.07</v>
      </c>
      <c r="AH45" s="4" t="s">
        <v>141</v>
      </c>
      <c r="AI45" s="4" t="s">
        <v>142</v>
      </c>
      <c r="AJ45" s="4" t="s">
        <v>94</v>
      </c>
    </row>
    <row r="46" customFormat="false" ht="15" hidden="false" customHeight="false" outlineLevel="0" collapsed="false">
      <c r="A46" s="4" t="s">
        <v>229</v>
      </c>
      <c r="B46" s="4" t="s">
        <v>230</v>
      </c>
      <c r="C46" s="4" t="s">
        <v>81</v>
      </c>
      <c r="D46" s="4" t="s">
        <v>63</v>
      </c>
      <c r="E46" s="4" t="s">
        <v>70</v>
      </c>
      <c r="F46" s="4" t="s">
        <v>139</v>
      </c>
      <c r="G46" s="4" t="s">
        <v>140</v>
      </c>
      <c r="H46" s="14" t="n">
        <v>45972.4</v>
      </c>
      <c r="I46" s="14" t="n">
        <v>74000</v>
      </c>
      <c r="J46" s="15" t="n">
        <v>0.4</v>
      </c>
      <c r="K46" s="14" t="n">
        <v>14319.48</v>
      </c>
      <c r="L46" s="14" t="n">
        <v>8334.99</v>
      </c>
      <c r="M46" s="16" t="n">
        <v>45514</v>
      </c>
      <c r="N46" s="16" t="n">
        <v>45681</v>
      </c>
      <c r="O46" s="16" t="n">
        <v>45689</v>
      </c>
      <c r="P46" s="16" t="n">
        <v>45707</v>
      </c>
      <c r="Q46" s="16" t="n">
        <v>45739</v>
      </c>
      <c r="R46" s="16" t="n">
        <v>46159</v>
      </c>
      <c r="S46" s="16" t="n">
        <v>46189</v>
      </c>
      <c r="T46" s="4" t="n">
        <v>167</v>
      </c>
      <c r="U46" s="4" t="n">
        <v>8</v>
      </c>
      <c r="V46" s="4" t="n">
        <v>18</v>
      </c>
      <c r="W46" s="4" t="n">
        <v>32</v>
      </c>
      <c r="X46" s="4" t="n">
        <v>420</v>
      </c>
      <c r="Y46" s="4" t="n">
        <v>30</v>
      </c>
      <c r="Z46" s="4" t="n">
        <v>193</v>
      </c>
      <c r="AA46" s="4" t="n">
        <v>675</v>
      </c>
      <c r="AB46" s="4" t="n">
        <v>48</v>
      </c>
      <c r="AC46" s="4" t="n">
        <v>40</v>
      </c>
      <c r="AD46" s="14" t="n">
        <v>5984.49</v>
      </c>
      <c r="AE46" s="9" t="n">
        <v>41.8</v>
      </c>
      <c r="AF46" s="14" t="n">
        <v>29600</v>
      </c>
      <c r="AG46" s="14" t="n">
        <v>36065.01</v>
      </c>
      <c r="AH46" s="4" t="s">
        <v>142</v>
      </c>
      <c r="AI46" s="4" t="s">
        <v>142</v>
      </c>
      <c r="AJ46" s="4"/>
    </row>
    <row r="47" customFormat="false" ht="15" hidden="false" customHeight="false" outlineLevel="0" collapsed="false">
      <c r="A47" s="4" t="s">
        <v>231</v>
      </c>
      <c r="B47" s="4" t="s">
        <v>232</v>
      </c>
      <c r="C47" s="4" t="s">
        <v>80</v>
      </c>
      <c r="D47" s="4" t="s">
        <v>62</v>
      </c>
      <c r="E47" s="4" t="s">
        <v>71</v>
      </c>
      <c r="F47" s="4" t="s">
        <v>139</v>
      </c>
      <c r="G47" s="4" t="s">
        <v>140</v>
      </c>
      <c r="H47" s="14" t="n">
        <v>13246.08</v>
      </c>
      <c r="I47" s="14" t="n">
        <v>21250</v>
      </c>
      <c r="J47" s="15" t="n">
        <v>0.33</v>
      </c>
      <c r="K47" s="14" t="n">
        <v>2606.79</v>
      </c>
      <c r="L47" s="14" t="n">
        <v>2424.82</v>
      </c>
      <c r="M47" s="16" t="n">
        <v>45516</v>
      </c>
      <c r="N47" s="16" t="n">
        <v>45614</v>
      </c>
      <c r="O47" s="16" t="n">
        <v>45620</v>
      </c>
      <c r="P47" s="16" t="n">
        <v>45636</v>
      </c>
      <c r="Q47" s="16" t="n">
        <v>45650</v>
      </c>
      <c r="R47" s="16" t="n">
        <v>45701</v>
      </c>
      <c r="S47" s="16" t="n">
        <v>45734</v>
      </c>
      <c r="T47" s="4" t="n">
        <v>98</v>
      </c>
      <c r="U47" s="4" t="n">
        <v>6</v>
      </c>
      <c r="V47" s="4" t="n">
        <v>16</v>
      </c>
      <c r="W47" s="4" t="n">
        <v>14</v>
      </c>
      <c r="X47" s="4" t="n">
        <v>51</v>
      </c>
      <c r="Y47" s="4" t="n">
        <v>33</v>
      </c>
      <c r="Z47" s="4" t="n">
        <v>120</v>
      </c>
      <c r="AA47" s="4" t="n">
        <v>218</v>
      </c>
      <c r="AB47" s="4" t="n">
        <v>49</v>
      </c>
      <c r="AC47" s="4" t="n">
        <v>20</v>
      </c>
      <c r="AD47" s="14" t="n">
        <v>181.97</v>
      </c>
      <c r="AE47" s="9" t="n">
        <v>7</v>
      </c>
      <c r="AF47" s="14" t="n">
        <v>7012.5</v>
      </c>
      <c r="AG47" s="14" t="n">
        <v>11812.68</v>
      </c>
      <c r="AH47" s="4" t="s">
        <v>142</v>
      </c>
      <c r="AI47" s="4" t="s">
        <v>142</v>
      </c>
      <c r="AJ47" s="4"/>
    </row>
    <row r="48" customFormat="false" ht="15" hidden="false" customHeight="false" outlineLevel="0" collapsed="false">
      <c r="A48" s="4" t="s">
        <v>233</v>
      </c>
      <c r="B48" s="4" t="s">
        <v>234</v>
      </c>
      <c r="C48" s="4" t="s">
        <v>80</v>
      </c>
      <c r="D48" s="4" t="s">
        <v>61</v>
      </c>
      <c r="E48" s="4" t="s">
        <v>73</v>
      </c>
      <c r="F48" s="4" t="s">
        <v>139</v>
      </c>
      <c r="G48" s="4" t="s">
        <v>140</v>
      </c>
      <c r="H48" s="14" t="n">
        <v>76581.33</v>
      </c>
      <c r="I48" s="14" t="n">
        <v>25000</v>
      </c>
      <c r="J48" s="15" t="n">
        <v>0.33</v>
      </c>
      <c r="K48" s="14" t="n">
        <v>16480.05</v>
      </c>
      <c r="L48" s="14" t="n">
        <v>8750</v>
      </c>
      <c r="M48" s="16" t="n">
        <v>45517</v>
      </c>
      <c r="N48" s="16" t="n">
        <v>45754</v>
      </c>
      <c r="O48" s="16" t="n">
        <v>45818</v>
      </c>
      <c r="P48" s="16" t="n">
        <v>45842</v>
      </c>
      <c r="Q48" s="16" t="n">
        <v>45902</v>
      </c>
      <c r="R48" s="16" t="n">
        <v>45956</v>
      </c>
      <c r="S48" s="16" t="n">
        <v>45997</v>
      </c>
      <c r="T48" s="4" t="n">
        <v>237</v>
      </c>
      <c r="U48" s="4" t="n">
        <v>64</v>
      </c>
      <c r="V48" s="4" t="n">
        <v>24</v>
      </c>
      <c r="W48" s="4" t="n">
        <v>60</v>
      </c>
      <c r="X48" s="4" t="n">
        <v>54</v>
      </c>
      <c r="Y48" s="4" t="n">
        <v>41</v>
      </c>
      <c r="Z48" s="4" t="n">
        <v>325</v>
      </c>
      <c r="AA48" s="4" t="n">
        <v>480</v>
      </c>
      <c r="AB48" s="4" t="n">
        <v>65</v>
      </c>
      <c r="AC48" s="4" t="n">
        <v>124</v>
      </c>
      <c r="AD48" s="14" t="n">
        <v>7730.05</v>
      </c>
      <c r="AE48" s="9" t="n">
        <v>46.9</v>
      </c>
      <c r="AF48" s="14" t="n">
        <v>8250</v>
      </c>
      <c r="AG48" s="14" t="n">
        <v>8000</v>
      </c>
      <c r="AH48" s="4" t="s">
        <v>141</v>
      </c>
      <c r="AI48" s="4" t="s">
        <v>142</v>
      </c>
      <c r="AJ48" s="4" t="s">
        <v>101</v>
      </c>
    </row>
    <row r="49" customFormat="false" ht="15" hidden="false" customHeight="false" outlineLevel="0" collapsed="false">
      <c r="A49" s="4" t="s">
        <v>235</v>
      </c>
      <c r="B49" s="4" t="s">
        <v>236</v>
      </c>
      <c r="C49" s="4" t="s">
        <v>80</v>
      </c>
      <c r="D49" s="4" t="s">
        <v>61</v>
      </c>
      <c r="E49" s="4" t="s">
        <v>71</v>
      </c>
      <c r="F49" s="4" t="s">
        <v>139</v>
      </c>
      <c r="G49" s="4" t="s">
        <v>140</v>
      </c>
      <c r="H49" s="14" t="n">
        <v>18816.64</v>
      </c>
      <c r="I49" s="14" t="n">
        <v>25000</v>
      </c>
      <c r="J49" s="15" t="n">
        <v>0.4</v>
      </c>
      <c r="K49" s="14" t="n">
        <v>5569.12</v>
      </c>
      <c r="L49" s="14" t="n">
        <v>4721.09</v>
      </c>
      <c r="M49" s="16" t="n">
        <v>45518</v>
      </c>
      <c r="N49" s="16" t="n">
        <v>45796</v>
      </c>
      <c r="O49" s="16" t="n">
        <v>45811</v>
      </c>
      <c r="P49" s="16" t="n">
        <v>45820</v>
      </c>
      <c r="Q49" s="16" t="n">
        <v>45848</v>
      </c>
      <c r="R49" s="16" t="n">
        <v>46268</v>
      </c>
      <c r="S49" s="16" t="n">
        <v>46304</v>
      </c>
      <c r="T49" s="4" t="n">
        <v>278</v>
      </c>
      <c r="U49" s="4" t="n">
        <v>15</v>
      </c>
      <c r="V49" s="4" t="n">
        <v>9</v>
      </c>
      <c r="W49" s="4" t="n">
        <v>28</v>
      </c>
      <c r="X49" s="4" t="n">
        <v>420</v>
      </c>
      <c r="Y49" s="4" t="n">
        <v>36</v>
      </c>
      <c r="Z49" s="4" t="n">
        <v>302</v>
      </c>
      <c r="AA49" s="4" t="n">
        <v>786</v>
      </c>
      <c r="AB49" s="4" t="n">
        <v>45</v>
      </c>
      <c r="AC49" s="4" t="n">
        <v>43</v>
      </c>
      <c r="AD49" s="14" t="n">
        <v>848.03</v>
      </c>
      <c r="AE49" s="9" t="n">
        <v>15.2</v>
      </c>
      <c r="AF49" s="14" t="n">
        <v>10000</v>
      </c>
      <c r="AG49" s="14" t="n">
        <v>10278.91</v>
      </c>
      <c r="AH49" s="4" t="s">
        <v>142</v>
      </c>
      <c r="AI49" s="4" t="s">
        <v>142</v>
      </c>
      <c r="AJ49" s="4"/>
    </row>
    <row r="50" customFormat="false" ht="15" hidden="false" customHeight="false" outlineLevel="0" collapsed="false">
      <c r="A50" s="4" t="s">
        <v>237</v>
      </c>
      <c r="B50" s="4" t="s">
        <v>238</v>
      </c>
      <c r="C50" s="4" t="s">
        <v>81</v>
      </c>
      <c r="D50" s="4" t="s">
        <v>61</v>
      </c>
      <c r="E50" s="4" t="s">
        <v>72</v>
      </c>
      <c r="F50" s="4" t="s">
        <v>139</v>
      </c>
      <c r="G50" s="4" t="s">
        <v>140</v>
      </c>
      <c r="H50" s="14" t="n">
        <v>32711.57</v>
      </c>
      <c r="I50" s="14" t="n">
        <v>66500</v>
      </c>
      <c r="J50" s="15" t="n">
        <v>0.33</v>
      </c>
      <c r="K50" s="14" t="n">
        <v>17290.99</v>
      </c>
      <c r="L50" s="14" t="n">
        <v>17105.66</v>
      </c>
      <c r="M50" s="16" t="n">
        <v>45519</v>
      </c>
      <c r="N50" s="16" t="n">
        <v>45568</v>
      </c>
      <c r="O50" s="16" t="n">
        <v>45595</v>
      </c>
      <c r="P50" s="16" t="n">
        <v>45615</v>
      </c>
      <c r="Q50" s="16" t="n">
        <v>45646</v>
      </c>
      <c r="R50" s="16" t="n">
        <v>45664</v>
      </c>
      <c r="S50" s="16" t="n">
        <v>45698</v>
      </c>
      <c r="T50" s="4" t="n">
        <v>49</v>
      </c>
      <c r="U50" s="4" t="n">
        <v>27</v>
      </c>
      <c r="V50" s="4" t="n">
        <v>20</v>
      </c>
      <c r="W50" s="4" t="n">
        <v>31</v>
      </c>
      <c r="X50" s="4" t="n">
        <v>18</v>
      </c>
      <c r="Y50" s="4" t="n">
        <v>34</v>
      </c>
      <c r="Z50" s="4" t="n">
        <v>96</v>
      </c>
      <c r="AA50" s="4" t="n">
        <v>179</v>
      </c>
      <c r="AB50" s="4" t="n">
        <v>54</v>
      </c>
      <c r="AC50" s="4" t="n">
        <v>58</v>
      </c>
      <c r="AD50" s="14" t="n">
        <v>185.33</v>
      </c>
      <c r="AE50" s="9" t="n">
        <v>1.1</v>
      </c>
      <c r="AF50" s="14" t="n">
        <v>21945</v>
      </c>
      <c r="AG50" s="14" t="n">
        <v>27449.34</v>
      </c>
      <c r="AH50" s="4" t="s">
        <v>142</v>
      </c>
      <c r="AI50" s="4" t="s">
        <v>142</v>
      </c>
      <c r="AJ50" s="4"/>
    </row>
    <row r="51" customFormat="false" ht="15" hidden="false" customHeight="false" outlineLevel="0" collapsed="false">
      <c r="A51" s="4" t="s">
        <v>239</v>
      </c>
      <c r="B51" s="4" t="s">
        <v>240</v>
      </c>
      <c r="C51" s="4" t="s">
        <v>82</v>
      </c>
      <c r="D51" s="4" t="s">
        <v>62</v>
      </c>
      <c r="E51" s="4" t="s">
        <v>71</v>
      </c>
      <c r="F51" s="4" t="s">
        <v>139</v>
      </c>
      <c r="G51" s="4" t="s">
        <v>140</v>
      </c>
      <c r="H51" s="14" t="n">
        <v>46601.49</v>
      </c>
      <c r="I51" s="14" t="n">
        <v>85000</v>
      </c>
      <c r="J51" s="15" t="n">
        <v>0.33</v>
      </c>
      <c r="K51" s="14" t="n">
        <v>23673.3</v>
      </c>
      <c r="L51" s="14" t="n">
        <v>15781.35</v>
      </c>
      <c r="M51" s="16" t="n">
        <v>45521</v>
      </c>
      <c r="N51" s="16" t="n">
        <v>45595</v>
      </c>
      <c r="O51" s="16" t="n">
        <v>45614</v>
      </c>
      <c r="P51" s="16" t="n">
        <v>45623</v>
      </c>
      <c r="Q51" s="16" t="n">
        <v>45636</v>
      </c>
      <c r="R51" s="16" t="n">
        <v>45667</v>
      </c>
      <c r="S51" s="16" t="n">
        <v>45712</v>
      </c>
      <c r="T51" s="4" t="n">
        <v>74</v>
      </c>
      <c r="U51" s="4" t="n">
        <v>19</v>
      </c>
      <c r="V51" s="4" t="n">
        <v>9</v>
      </c>
      <c r="W51" s="4" t="n">
        <v>13</v>
      </c>
      <c r="X51" s="4" t="n">
        <v>31</v>
      </c>
      <c r="Y51" s="4" t="n">
        <v>45</v>
      </c>
      <c r="Z51" s="4" t="n">
        <v>102</v>
      </c>
      <c r="AA51" s="4" t="n">
        <v>191</v>
      </c>
      <c r="AB51" s="4" t="n">
        <v>54</v>
      </c>
      <c r="AC51" s="4" t="n">
        <v>32</v>
      </c>
      <c r="AD51" s="14" t="n">
        <v>7891.95</v>
      </c>
      <c r="AE51" s="9" t="n">
        <v>33.3</v>
      </c>
      <c r="AF51" s="14" t="n">
        <v>28050</v>
      </c>
      <c r="AG51" s="14" t="n">
        <v>41168.65</v>
      </c>
      <c r="AH51" s="4" t="s">
        <v>142</v>
      </c>
      <c r="AI51" s="4" t="s">
        <v>142</v>
      </c>
      <c r="AJ51" s="4"/>
    </row>
    <row r="52" customFormat="false" ht="15" hidden="false" customHeight="false" outlineLevel="0" collapsed="false">
      <c r="A52" s="4" t="s">
        <v>241</v>
      </c>
      <c r="B52" s="4" t="s">
        <v>242</v>
      </c>
      <c r="C52" s="4" t="s">
        <v>82</v>
      </c>
      <c r="D52" s="4" t="s">
        <v>60</v>
      </c>
      <c r="E52" s="4" t="s">
        <v>73</v>
      </c>
      <c r="F52" s="4" t="s">
        <v>139</v>
      </c>
      <c r="G52" s="4" t="s">
        <v>140</v>
      </c>
      <c r="H52" s="14" t="n">
        <v>68476.69</v>
      </c>
      <c r="I52" s="14" t="n">
        <v>84250</v>
      </c>
      <c r="J52" s="15" t="n">
        <v>0.33</v>
      </c>
      <c r="K52" s="14" t="n">
        <v>14565.6</v>
      </c>
      <c r="L52" s="14" t="n">
        <v>3928.27</v>
      </c>
      <c r="M52" s="16" t="n">
        <v>45522</v>
      </c>
      <c r="N52" s="16" t="n">
        <v>45621</v>
      </c>
      <c r="O52" s="16" t="n">
        <v>45649</v>
      </c>
      <c r="P52" s="16" t="n">
        <v>45662</v>
      </c>
      <c r="Q52" s="16" t="n">
        <v>45704</v>
      </c>
      <c r="R52" s="16" t="n">
        <v>45723</v>
      </c>
      <c r="S52" s="16" t="n">
        <v>45770</v>
      </c>
      <c r="T52" s="4" t="n">
        <v>99</v>
      </c>
      <c r="U52" s="4" t="n">
        <v>28</v>
      </c>
      <c r="V52" s="4" t="n">
        <v>13</v>
      </c>
      <c r="W52" s="4" t="n">
        <v>42</v>
      </c>
      <c r="X52" s="4" t="n">
        <v>19</v>
      </c>
      <c r="Y52" s="4" t="n">
        <v>47</v>
      </c>
      <c r="Z52" s="4" t="n">
        <v>140</v>
      </c>
      <c r="AA52" s="4" t="n">
        <v>248</v>
      </c>
      <c r="AB52" s="4" t="n">
        <v>60</v>
      </c>
      <c r="AC52" s="4" t="n">
        <v>70</v>
      </c>
      <c r="AD52" s="14" t="n">
        <v>10637.33</v>
      </c>
      <c r="AE52" s="9" t="n">
        <v>73</v>
      </c>
      <c r="AF52" s="14" t="n">
        <v>27802.5</v>
      </c>
      <c r="AG52" s="14" t="n">
        <v>52519.23</v>
      </c>
      <c r="AH52" s="4" t="s">
        <v>142</v>
      </c>
      <c r="AI52" s="4" t="s">
        <v>142</v>
      </c>
      <c r="AJ52" s="4"/>
    </row>
    <row r="53" customFormat="false" ht="15" hidden="false" customHeight="false" outlineLevel="0" collapsed="false">
      <c r="A53" s="4" t="s">
        <v>243</v>
      </c>
      <c r="B53" s="4" t="s">
        <v>244</v>
      </c>
      <c r="C53" s="4" t="s">
        <v>80</v>
      </c>
      <c r="D53" s="4" t="s">
        <v>59</v>
      </c>
      <c r="E53" s="4" t="s">
        <v>72</v>
      </c>
      <c r="F53" s="4" t="s">
        <v>139</v>
      </c>
      <c r="G53" s="4" t="s">
        <v>140</v>
      </c>
      <c r="H53" s="14" t="n">
        <v>7894.69</v>
      </c>
      <c r="I53" s="14" t="n">
        <v>10250</v>
      </c>
      <c r="J53" s="15" t="n">
        <v>0.4</v>
      </c>
      <c r="K53" s="14" t="n">
        <v>3238.75</v>
      </c>
      <c r="L53" s="14" t="n">
        <v>2155.16</v>
      </c>
      <c r="M53" s="16" t="n">
        <v>45523</v>
      </c>
      <c r="N53" s="16" t="n">
        <v>45614</v>
      </c>
      <c r="O53" s="16" t="n">
        <v>45625</v>
      </c>
      <c r="P53" s="16" t="n">
        <v>45637</v>
      </c>
      <c r="Q53" s="16" t="n">
        <v>45691</v>
      </c>
      <c r="R53" s="16" t="n">
        <v>46095</v>
      </c>
      <c r="S53" s="16" t="n">
        <v>46114</v>
      </c>
      <c r="T53" s="4" t="n">
        <v>91</v>
      </c>
      <c r="U53" s="4" t="n">
        <v>11</v>
      </c>
      <c r="V53" s="4" t="n">
        <v>12</v>
      </c>
      <c r="W53" s="4" t="n">
        <v>54</v>
      </c>
      <c r="X53" s="4" t="n">
        <v>404</v>
      </c>
      <c r="Y53" s="4" t="n">
        <v>19</v>
      </c>
      <c r="Z53" s="4" t="n">
        <v>114</v>
      </c>
      <c r="AA53" s="4" t="n">
        <v>591</v>
      </c>
      <c r="AB53" s="4" t="n">
        <v>31</v>
      </c>
      <c r="AC53" s="4" t="n">
        <v>65</v>
      </c>
      <c r="AD53" s="14" t="n">
        <v>1083.59</v>
      </c>
      <c r="AE53" s="9" t="n">
        <v>33.5</v>
      </c>
      <c r="AF53" s="14" t="n">
        <v>4100</v>
      </c>
      <c r="AG53" s="14" t="n">
        <v>3994.84</v>
      </c>
      <c r="AH53" s="4" t="s">
        <v>141</v>
      </c>
      <c r="AI53" s="4" t="s">
        <v>142</v>
      </c>
      <c r="AJ53" s="4" t="s">
        <v>94</v>
      </c>
    </row>
    <row r="54" customFormat="false" ht="15" hidden="false" customHeight="false" outlineLevel="0" collapsed="false">
      <c r="A54" s="4" t="s">
        <v>245</v>
      </c>
      <c r="B54" s="4" t="s">
        <v>246</v>
      </c>
      <c r="C54" s="4" t="s">
        <v>80</v>
      </c>
      <c r="D54" s="4" t="s">
        <v>60</v>
      </c>
      <c r="E54" s="4" t="s">
        <v>74</v>
      </c>
      <c r="F54" s="4" t="s">
        <v>139</v>
      </c>
      <c r="G54" s="4" t="s">
        <v>140</v>
      </c>
      <c r="H54" s="14" t="n">
        <v>15983.38</v>
      </c>
      <c r="I54" s="14" t="n">
        <v>25750</v>
      </c>
      <c r="J54" s="15" t="n">
        <v>0.33</v>
      </c>
      <c r="K54" s="14" t="n">
        <v>5189.07</v>
      </c>
      <c r="L54" s="14" t="n">
        <v>2912.88</v>
      </c>
      <c r="M54" s="16" t="n">
        <v>45534</v>
      </c>
      <c r="N54" s="16" t="n">
        <v>45623</v>
      </c>
      <c r="O54" s="16" t="n">
        <v>45651</v>
      </c>
      <c r="P54" s="16" t="n">
        <v>45667</v>
      </c>
      <c r="Q54" s="16" t="n">
        <v>45747</v>
      </c>
      <c r="R54" s="16" t="n">
        <v>45800</v>
      </c>
      <c r="S54" s="16" t="n">
        <v>45826</v>
      </c>
      <c r="T54" s="4" t="n">
        <v>89</v>
      </c>
      <c r="U54" s="4" t="n">
        <v>28</v>
      </c>
      <c r="V54" s="4" t="n">
        <v>16</v>
      </c>
      <c r="W54" s="4" t="n">
        <v>80</v>
      </c>
      <c r="X54" s="4" t="n">
        <v>53</v>
      </c>
      <c r="Y54" s="4" t="n">
        <v>26</v>
      </c>
      <c r="Z54" s="4" t="n">
        <v>133</v>
      </c>
      <c r="AA54" s="4" t="n">
        <v>292</v>
      </c>
      <c r="AB54" s="4" t="n">
        <v>42</v>
      </c>
      <c r="AC54" s="4" t="n">
        <v>108</v>
      </c>
      <c r="AD54" s="14" t="n">
        <v>2276.19</v>
      </c>
      <c r="AE54" s="9" t="n">
        <v>43.9</v>
      </c>
      <c r="AF54" s="14" t="n">
        <v>8497.5</v>
      </c>
      <c r="AG54" s="14" t="n">
        <v>14339.62</v>
      </c>
      <c r="AH54" s="4" t="s">
        <v>141</v>
      </c>
      <c r="AI54" s="4" t="s">
        <v>142</v>
      </c>
      <c r="AJ54" s="4" t="s">
        <v>94</v>
      </c>
    </row>
    <row r="55" customFormat="false" ht="15" hidden="false" customHeight="false" outlineLevel="0" collapsed="false">
      <c r="A55" s="4" t="s">
        <v>247</v>
      </c>
      <c r="B55" s="4" t="s">
        <v>248</v>
      </c>
      <c r="C55" s="4" t="s">
        <v>81</v>
      </c>
      <c r="D55" s="4" t="s">
        <v>59</v>
      </c>
      <c r="E55" s="4" t="s">
        <v>70</v>
      </c>
      <c r="F55" s="4" t="s">
        <v>139</v>
      </c>
      <c r="G55" s="4" t="s">
        <v>140</v>
      </c>
      <c r="H55" s="14" t="n">
        <v>9909.21</v>
      </c>
      <c r="I55" s="14" t="n">
        <v>14750</v>
      </c>
      <c r="J55" s="15" t="n">
        <v>0.33</v>
      </c>
      <c r="K55" s="14" t="n">
        <v>0</v>
      </c>
      <c r="L55" s="14" t="n">
        <v>0</v>
      </c>
      <c r="M55" s="16" t="n">
        <v>45537</v>
      </c>
      <c r="N55" s="16" t="n">
        <v>45589</v>
      </c>
      <c r="O55" s="16" t="n">
        <v>45665</v>
      </c>
      <c r="P55" s="16" t="n">
        <v>45682</v>
      </c>
      <c r="Q55" s="16" t="n">
        <v>45778</v>
      </c>
      <c r="R55" s="16" t="n">
        <v>45791</v>
      </c>
      <c r="S55" s="16" t="n">
        <v>45818</v>
      </c>
      <c r="T55" s="4" t="n">
        <v>52</v>
      </c>
      <c r="U55" s="4" t="n">
        <v>76</v>
      </c>
      <c r="V55" s="4" t="n">
        <v>17</v>
      </c>
      <c r="W55" s="4" t="n">
        <v>96</v>
      </c>
      <c r="X55" s="4" t="n">
        <v>13</v>
      </c>
      <c r="Y55" s="4" t="n">
        <v>27</v>
      </c>
      <c r="Z55" s="4" t="n">
        <v>145</v>
      </c>
      <c r="AA55" s="4" t="n">
        <v>281</v>
      </c>
      <c r="AB55" s="4" t="n">
        <v>44</v>
      </c>
      <c r="AC55" s="4" t="n">
        <v>172</v>
      </c>
      <c r="AD55" s="14" t="n">
        <v>0</v>
      </c>
      <c r="AE55" s="9"/>
      <c r="AF55" s="14" t="n">
        <v>4867.5</v>
      </c>
      <c r="AG55" s="14" t="n">
        <v>9882.5</v>
      </c>
      <c r="AH55" s="4" t="s">
        <v>141</v>
      </c>
      <c r="AI55" s="4" t="s">
        <v>142</v>
      </c>
      <c r="AJ55" s="4" t="s">
        <v>101</v>
      </c>
    </row>
    <row r="56" customFormat="false" ht="15" hidden="false" customHeight="false" outlineLevel="0" collapsed="false">
      <c r="A56" s="4" t="s">
        <v>249</v>
      </c>
      <c r="B56" s="4" t="s">
        <v>250</v>
      </c>
      <c r="C56" s="4" t="s">
        <v>81</v>
      </c>
      <c r="D56" s="4" t="s">
        <v>61</v>
      </c>
      <c r="E56" s="4" t="s">
        <v>70</v>
      </c>
      <c r="F56" s="4" t="s">
        <v>139</v>
      </c>
      <c r="G56" s="4" t="s">
        <v>140</v>
      </c>
      <c r="H56" s="14" t="n">
        <v>18842.24</v>
      </c>
      <c r="I56" s="14" t="n">
        <v>28500</v>
      </c>
      <c r="J56" s="15" t="n">
        <v>0.33</v>
      </c>
      <c r="K56" s="14" t="n">
        <v>5825.93</v>
      </c>
      <c r="L56" s="14" t="n">
        <v>3481.23</v>
      </c>
      <c r="M56" s="16" t="n">
        <v>45540</v>
      </c>
      <c r="N56" s="16" t="n">
        <v>45582</v>
      </c>
      <c r="O56" s="16" t="n">
        <v>45611</v>
      </c>
      <c r="P56" s="16" t="n">
        <v>45633</v>
      </c>
      <c r="Q56" s="16" t="n">
        <v>45654</v>
      </c>
      <c r="R56" s="16" t="n">
        <v>45672</v>
      </c>
      <c r="S56" s="16" t="n">
        <v>45710</v>
      </c>
      <c r="T56" s="4" t="n">
        <v>42</v>
      </c>
      <c r="U56" s="4" t="n">
        <v>29</v>
      </c>
      <c r="V56" s="4" t="n">
        <v>22</v>
      </c>
      <c r="W56" s="4" t="n">
        <v>21</v>
      </c>
      <c r="X56" s="4" t="n">
        <v>18</v>
      </c>
      <c r="Y56" s="4" t="n">
        <v>38</v>
      </c>
      <c r="Z56" s="4" t="n">
        <v>93</v>
      </c>
      <c r="AA56" s="4" t="n">
        <v>170</v>
      </c>
      <c r="AB56" s="4" t="n">
        <v>60</v>
      </c>
      <c r="AC56" s="4" t="n">
        <v>50</v>
      </c>
      <c r="AD56" s="14" t="n">
        <v>2344.7</v>
      </c>
      <c r="AE56" s="9" t="n">
        <v>40.2</v>
      </c>
      <c r="AF56" s="14" t="n">
        <v>9405</v>
      </c>
      <c r="AG56" s="14" t="n">
        <v>15613.77</v>
      </c>
      <c r="AH56" s="4" t="s">
        <v>142</v>
      </c>
      <c r="AI56" s="4" t="s">
        <v>142</v>
      </c>
      <c r="AJ56" s="4"/>
    </row>
    <row r="57" customFormat="false" ht="15" hidden="false" customHeight="false" outlineLevel="0" collapsed="false">
      <c r="A57" s="4" t="s">
        <v>251</v>
      </c>
      <c r="B57" s="4" t="s">
        <v>252</v>
      </c>
      <c r="C57" s="4" t="s">
        <v>82</v>
      </c>
      <c r="D57" s="4" t="s">
        <v>61</v>
      </c>
      <c r="E57" s="4" t="s">
        <v>70</v>
      </c>
      <c r="F57" s="4" t="s">
        <v>139</v>
      </c>
      <c r="G57" s="4" t="s">
        <v>140</v>
      </c>
      <c r="H57" s="14" t="n">
        <v>33687.68</v>
      </c>
      <c r="I57" s="14" t="n">
        <v>55750</v>
      </c>
      <c r="J57" s="15" t="n">
        <v>0.33</v>
      </c>
      <c r="K57" s="14" t="n">
        <v>12678.99</v>
      </c>
      <c r="L57" s="14" t="n">
        <v>11083.4</v>
      </c>
      <c r="M57" s="16" t="n">
        <v>45542</v>
      </c>
      <c r="N57" s="16" t="n">
        <v>45789</v>
      </c>
      <c r="O57" s="16" t="n">
        <v>45813</v>
      </c>
      <c r="P57" s="16" t="n">
        <v>45830</v>
      </c>
      <c r="Q57" s="16" t="n">
        <v>45847</v>
      </c>
      <c r="R57" s="16" t="n">
        <v>45885</v>
      </c>
      <c r="S57" s="16" t="n">
        <v>45913</v>
      </c>
      <c r="T57" s="4" t="n">
        <v>247</v>
      </c>
      <c r="U57" s="4" t="n">
        <v>24</v>
      </c>
      <c r="V57" s="4" t="n">
        <v>17</v>
      </c>
      <c r="W57" s="4" t="n">
        <v>17</v>
      </c>
      <c r="X57" s="4" t="n">
        <v>38</v>
      </c>
      <c r="Y57" s="4" t="n">
        <v>28</v>
      </c>
      <c r="Z57" s="4" t="n">
        <v>288</v>
      </c>
      <c r="AA57" s="4" t="n">
        <v>371</v>
      </c>
      <c r="AB57" s="4" t="n">
        <v>45</v>
      </c>
      <c r="AC57" s="4" t="n">
        <v>41</v>
      </c>
      <c r="AD57" s="14" t="n">
        <v>1595.59</v>
      </c>
      <c r="AE57" s="9" t="n">
        <v>12.6</v>
      </c>
      <c r="AF57" s="14" t="n">
        <v>18397.5</v>
      </c>
      <c r="AG57" s="14" t="n">
        <v>26269.1</v>
      </c>
      <c r="AH57" s="4" t="s">
        <v>142</v>
      </c>
      <c r="AI57" s="4" t="s">
        <v>142</v>
      </c>
      <c r="AJ57" s="4"/>
    </row>
    <row r="58" customFormat="false" ht="15" hidden="false" customHeight="false" outlineLevel="0" collapsed="false">
      <c r="A58" s="4" t="s">
        <v>253</v>
      </c>
      <c r="B58" s="4" t="s">
        <v>254</v>
      </c>
      <c r="C58" s="4" t="s">
        <v>80</v>
      </c>
      <c r="D58" s="4" t="s">
        <v>60</v>
      </c>
      <c r="E58" s="4" t="s">
        <v>70</v>
      </c>
      <c r="F58" s="4" t="s">
        <v>139</v>
      </c>
      <c r="G58" s="4" t="s">
        <v>140</v>
      </c>
      <c r="H58" s="14" t="n">
        <v>12700.3</v>
      </c>
      <c r="I58" s="14" t="n">
        <v>16750</v>
      </c>
      <c r="J58" s="15" t="n">
        <v>0.33</v>
      </c>
      <c r="K58" s="14" t="n">
        <v>1987.83</v>
      </c>
      <c r="L58" s="14" t="n">
        <v>1357.56</v>
      </c>
      <c r="M58" s="16" t="n">
        <v>45543</v>
      </c>
      <c r="N58" s="16" t="n">
        <v>45705</v>
      </c>
      <c r="O58" s="16" t="n">
        <v>45715</v>
      </c>
      <c r="P58" s="16" t="n">
        <v>45751</v>
      </c>
      <c r="Q58" s="16" t="n">
        <v>45769</v>
      </c>
      <c r="R58" s="16" t="n">
        <v>45781</v>
      </c>
      <c r="S58" s="16" t="n">
        <v>45812</v>
      </c>
      <c r="T58" s="4" t="n">
        <v>162</v>
      </c>
      <c r="U58" s="4" t="n">
        <v>10</v>
      </c>
      <c r="V58" s="4" t="n">
        <v>36</v>
      </c>
      <c r="W58" s="4" t="n">
        <v>18</v>
      </c>
      <c r="X58" s="4" t="n">
        <v>12</v>
      </c>
      <c r="Y58" s="4" t="n">
        <v>31</v>
      </c>
      <c r="Z58" s="4" t="n">
        <v>208</v>
      </c>
      <c r="AA58" s="4" t="n">
        <v>269</v>
      </c>
      <c r="AB58" s="4" t="n">
        <v>67</v>
      </c>
      <c r="AC58" s="4" t="n">
        <v>28</v>
      </c>
      <c r="AD58" s="14" t="n">
        <v>630.27</v>
      </c>
      <c r="AE58" s="9" t="n">
        <v>31.7</v>
      </c>
      <c r="AF58" s="14" t="n">
        <v>5527.5</v>
      </c>
      <c r="AG58" s="14" t="n">
        <v>9864.94</v>
      </c>
      <c r="AH58" s="4" t="s">
        <v>142</v>
      </c>
      <c r="AI58" s="4" t="s">
        <v>142</v>
      </c>
      <c r="AJ58" s="4"/>
    </row>
    <row r="59" customFormat="false" ht="15" hidden="false" customHeight="false" outlineLevel="0" collapsed="false">
      <c r="A59" s="4" t="s">
        <v>255</v>
      </c>
      <c r="B59" s="4" t="s">
        <v>256</v>
      </c>
      <c r="C59" s="4" t="s">
        <v>81</v>
      </c>
      <c r="D59" s="4" t="s">
        <v>59</v>
      </c>
      <c r="E59" s="4" t="s">
        <v>72</v>
      </c>
      <c r="F59" s="4" t="s">
        <v>139</v>
      </c>
      <c r="G59" s="4" t="s">
        <v>140</v>
      </c>
      <c r="H59" s="14" t="n">
        <v>23731.95</v>
      </c>
      <c r="I59" s="14" t="n">
        <v>33000</v>
      </c>
      <c r="J59" s="15" t="n">
        <v>0.4</v>
      </c>
      <c r="K59" s="14" t="n">
        <v>7189.91</v>
      </c>
      <c r="L59" s="14" t="n">
        <v>3728.81</v>
      </c>
      <c r="M59" s="16" t="n">
        <v>45545</v>
      </c>
      <c r="N59" s="16" t="n">
        <v>45683</v>
      </c>
      <c r="O59" s="16" t="n">
        <v>45716</v>
      </c>
      <c r="P59" s="16" t="n">
        <v>45729</v>
      </c>
      <c r="Q59" s="16" t="n">
        <v>45761</v>
      </c>
      <c r="R59" s="16" t="n">
        <v>45977</v>
      </c>
      <c r="S59" s="16" t="n">
        <v>46010</v>
      </c>
      <c r="T59" s="4" t="n">
        <v>138</v>
      </c>
      <c r="U59" s="4" t="n">
        <v>33</v>
      </c>
      <c r="V59" s="4" t="n">
        <v>13</v>
      </c>
      <c r="W59" s="4" t="n">
        <v>32</v>
      </c>
      <c r="X59" s="4" t="n">
        <v>216</v>
      </c>
      <c r="Y59" s="4" t="n">
        <v>33</v>
      </c>
      <c r="Z59" s="4" t="n">
        <v>184</v>
      </c>
      <c r="AA59" s="4" t="n">
        <v>465</v>
      </c>
      <c r="AB59" s="4" t="n">
        <v>46</v>
      </c>
      <c r="AC59" s="4" t="n">
        <v>65</v>
      </c>
      <c r="AD59" s="14" t="n">
        <v>3461.1</v>
      </c>
      <c r="AE59" s="9" t="n">
        <v>48.1</v>
      </c>
      <c r="AF59" s="14" t="n">
        <v>13200</v>
      </c>
      <c r="AG59" s="14" t="n">
        <v>16071.19</v>
      </c>
      <c r="AH59" s="4" t="s">
        <v>142</v>
      </c>
      <c r="AI59" s="4" t="s">
        <v>142</v>
      </c>
      <c r="AJ59" s="4"/>
    </row>
    <row r="60" customFormat="false" ht="15" hidden="false" customHeight="false" outlineLevel="0" collapsed="false">
      <c r="A60" s="4" t="s">
        <v>257</v>
      </c>
      <c r="B60" s="4" t="s">
        <v>258</v>
      </c>
      <c r="C60" s="4" t="s">
        <v>83</v>
      </c>
      <c r="D60" s="4" t="s">
        <v>63</v>
      </c>
      <c r="E60" s="4" t="s">
        <v>74</v>
      </c>
      <c r="F60" s="4" t="s">
        <v>139</v>
      </c>
      <c r="G60" s="4" t="s">
        <v>140</v>
      </c>
      <c r="H60" s="14" t="n">
        <v>7383.99</v>
      </c>
      <c r="I60" s="14" t="n">
        <v>15750</v>
      </c>
      <c r="J60" s="15" t="n">
        <v>0.33</v>
      </c>
      <c r="K60" s="14" t="n">
        <v>1172.83</v>
      </c>
      <c r="L60" s="14" t="n">
        <v>710.42</v>
      </c>
      <c r="M60" s="16" t="n">
        <v>45550</v>
      </c>
      <c r="N60" s="16" t="n">
        <v>45574</v>
      </c>
      <c r="O60" s="16" t="n">
        <v>45586</v>
      </c>
      <c r="P60" s="16" t="n">
        <v>45591</v>
      </c>
      <c r="Q60" s="16" t="n">
        <v>45626</v>
      </c>
      <c r="R60" s="16" t="n">
        <v>45645</v>
      </c>
      <c r="S60" s="16" t="n">
        <v>45687</v>
      </c>
      <c r="T60" s="4" t="n">
        <v>24</v>
      </c>
      <c r="U60" s="4" t="n">
        <v>12</v>
      </c>
      <c r="V60" s="4" t="n">
        <v>5</v>
      </c>
      <c r="W60" s="4" t="n">
        <v>35</v>
      </c>
      <c r="X60" s="4" t="n">
        <v>19</v>
      </c>
      <c r="Y60" s="4" t="n">
        <v>42</v>
      </c>
      <c r="Z60" s="4" t="n">
        <v>41</v>
      </c>
      <c r="AA60" s="4" t="n">
        <v>137</v>
      </c>
      <c r="AB60" s="4" t="n">
        <v>47</v>
      </c>
      <c r="AC60" s="4" t="n">
        <v>47</v>
      </c>
      <c r="AD60" s="14" t="n">
        <v>462.41</v>
      </c>
      <c r="AE60" s="9" t="n">
        <v>39.4</v>
      </c>
      <c r="AF60" s="14" t="n">
        <v>5197.5</v>
      </c>
      <c r="AG60" s="14" t="n">
        <v>9842.08</v>
      </c>
      <c r="AH60" s="4" t="s">
        <v>142</v>
      </c>
      <c r="AI60" s="4" t="s">
        <v>142</v>
      </c>
      <c r="AJ60" s="4"/>
    </row>
    <row r="61" customFormat="false" ht="15" hidden="false" customHeight="false" outlineLevel="0" collapsed="false">
      <c r="A61" s="4" t="s">
        <v>259</v>
      </c>
      <c r="B61" s="4" t="s">
        <v>260</v>
      </c>
      <c r="C61" s="4" t="s">
        <v>80</v>
      </c>
      <c r="D61" s="4" t="s">
        <v>61</v>
      </c>
      <c r="E61" s="4" t="s">
        <v>72</v>
      </c>
      <c r="F61" s="4" t="s">
        <v>139</v>
      </c>
      <c r="G61" s="4" t="s">
        <v>140</v>
      </c>
      <c r="H61" s="14" t="n">
        <v>22666.62</v>
      </c>
      <c r="I61" s="14" t="n">
        <v>25000</v>
      </c>
      <c r="J61" s="15" t="n">
        <v>0.4</v>
      </c>
      <c r="K61" s="14" t="n">
        <v>0</v>
      </c>
      <c r="L61" s="14" t="n">
        <v>0</v>
      </c>
      <c r="M61" s="16" t="n">
        <v>45550</v>
      </c>
      <c r="N61" s="16" t="n">
        <v>45592</v>
      </c>
      <c r="O61" s="16" t="n">
        <v>45608</v>
      </c>
      <c r="P61" s="16" t="n">
        <v>45625</v>
      </c>
      <c r="Q61" s="16" t="n">
        <v>45676</v>
      </c>
      <c r="R61" s="16" t="n">
        <v>45863</v>
      </c>
      <c r="S61" s="16" t="n">
        <v>45891</v>
      </c>
      <c r="T61" s="4" t="n">
        <v>42</v>
      </c>
      <c r="U61" s="4" t="n">
        <v>16</v>
      </c>
      <c r="V61" s="4" t="n">
        <v>17</v>
      </c>
      <c r="W61" s="4" t="n">
        <v>51</v>
      </c>
      <c r="X61" s="4" t="n">
        <v>187</v>
      </c>
      <c r="Y61" s="4" t="n">
        <v>28</v>
      </c>
      <c r="Z61" s="4" t="n">
        <v>75</v>
      </c>
      <c r="AA61" s="4" t="n">
        <v>341</v>
      </c>
      <c r="AB61" s="4" t="n">
        <v>45</v>
      </c>
      <c r="AC61" s="4" t="n">
        <v>67</v>
      </c>
      <c r="AD61" s="14" t="n">
        <v>0</v>
      </c>
      <c r="AE61" s="9"/>
      <c r="AF61" s="14" t="n">
        <v>10000</v>
      </c>
      <c r="AG61" s="14" t="n">
        <v>15000</v>
      </c>
      <c r="AH61" s="4" t="s">
        <v>141</v>
      </c>
      <c r="AI61" s="4" t="s">
        <v>142</v>
      </c>
      <c r="AJ61" s="4" t="s">
        <v>94</v>
      </c>
    </row>
    <row r="62" customFormat="false" ht="15" hidden="false" customHeight="false" outlineLevel="0" collapsed="false">
      <c r="A62" s="4" t="s">
        <v>261</v>
      </c>
      <c r="B62" s="4" t="s">
        <v>262</v>
      </c>
      <c r="C62" s="4" t="s">
        <v>82</v>
      </c>
      <c r="D62" s="4" t="s">
        <v>59</v>
      </c>
      <c r="E62" s="4" t="s">
        <v>70</v>
      </c>
      <c r="F62" s="4" t="s">
        <v>139</v>
      </c>
      <c r="G62" s="4" t="s">
        <v>140</v>
      </c>
      <c r="H62" s="14" t="n">
        <v>36442.84</v>
      </c>
      <c r="I62" s="14" t="n">
        <v>25000</v>
      </c>
      <c r="J62" s="15" t="n">
        <v>0.33</v>
      </c>
      <c r="K62" s="14" t="n">
        <v>8990.07</v>
      </c>
      <c r="L62" s="14" t="n">
        <v>6959.63</v>
      </c>
      <c r="M62" s="16" t="n">
        <v>45553</v>
      </c>
      <c r="N62" s="16" t="n">
        <v>45710</v>
      </c>
      <c r="O62" s="16" t="n">
        <v>45720</v>
      </c>
      <c r="P62" s="16" t="n">
        <v>45732</v>
      </c>
      <c r="Q62" s="16" t="n">
        <v>45816</v>
      </c>
      <c r="R62" s="16" t="n">
        <v>45907</v>
      </c>
      <c r="S62" s="16" t="n">
        <v>45936</v>
      </c>
      <c r="T62" s="4" t="n">
        <v>157</v>
      </c>
      <c r="U62" s="4" t="n">
        <v>10</v>
      </c>
      <c r="V62" s="4" t="n">
        <v>12</v>
      </c>
      <c r="W62" s="4" t="n">
        <v>84</v>
      </c>
      <c r="X62" s="4" t="n">
        <v>91</v>
      </c>
      <c r="Y62" s="4" t="n">
        <v>29</v>
      </c>
      <c r="Z62" s="4" t="n">
        <v>179</v>
      </c>
      <c r="AA62" s="4" t="n">
        <v>383</v>
      </c>
      <c r="AB62" s="4" t="n">
        <v>41</v>
      </c>
      <c r="AC62" s="4" t="n">
        <v>94</v>
      </c>
      <c r="AD62" s="14" t="n">
        <v>2030.44</v>
      </c>
      <c r="AE62" s="9" t="n">
        <v>22.6</v>
      </c>
      <c r="AF62" s="14" t="n">
        <v>8250</v>
      </c>
      <c r="AG62" s="14" t="n">
        <v>9790.37</v>
      </c>
      <c r="AH62" s="4" t="s">
        <v>141</v>
      </c>
      <c r="AI62" s="4" t="s">
        <v>142</v>
      </c>
      <c r="AJ62" s="4" t="s">
        <v>94</v>
      </c>
    </row>
    <row r="63" customFormat="false" ht="15" hidden="false" customHeight="false" outlineLevel="0" collapsed="false">
      <c r="A63" s="4" t="s">
        <v>263</v>
      </c>
      <c r="B63" s="4" t="s">
        <v>264</v>
      </c>
      <c r="C63" s="4" t="s">
        <v>80</v>
      </c>
      <c r="D63" s="4" t="s">
        <v>61</v>
      </c>
      <c r="E63" s="4" t="s">
        <v>70</v>
      </c>
      <c r="F63" s="4" t="s">
        <v>139</v>
      </c>
      <c r="G63" s="4" t="s">
        <v>140</v>
      </c>
      <c r="H63" s="14" t="n">
        <v>20216.24</v>
      </c>
      <c r="I63" s="14" t="n">
        <v>36250</v>
      </c>
      <c r="J63" s="15" t="n">
        <v>0.33</v>
      </c>
      <c r="K63" s="14" t="n">
        <v>4755.77</v>
      </c>
      <c r="L63" s="14" t="n">
        <v>3052.99</v>
      </c>
      <c r="M63" s="16" t="n">
        <v>45561</v>
      </c>
      <c r="N63" s="16" t="n">
        <v>45731</v>
      </c>
      <c r="O63" s="16" t="n">
        <v>45774</v>
      </c>
      <c r="P63" s="16" t="n">
        <v>45783</v>
      </c>
      <c r="Q63" s="16" t="n">
        <v>45814</v>
      </c>
      <c r="R63" s="16" t="n">
        <v>45862</v>
      </c>
      <c r="S63" s="16" t="n">
        <v>45887</v>
      </c>
      <c r="T63" s="4" t="n">
        <v>170</v>
      </c>
      <c r="U63" s="4" t="n">
        <v>43</v>
      </c>
      <c r="V63" s="4" t="n">
        <v>9</v>
      </c>
      <c r="W63" s="4" t="n">
        <v>31</v>
      </c>
      <c r="X63" s="4" t="n">
        <v>48</v>
      </c>
      <c r="Y63" s="4" t="n">
        <v>25</v>
      </c>
      <c r="Z63" s="4" t="n">
        <v>222</v>
      </c>
      <c r="AA63" s="4" t="n">
        <v>326</v>
      </c>
      <c r="AB63" s="4" t="n">
        <v>34</v>
      </c>
      <c r="AC63" s="4" t="n">
        <v>74</v>
      </c>
      <c r="AD63" s="14" t="n">
        <v>1702.78</v>
      </c>
      <c r="AE63" s="9" t="n">
        <v>35.8</v>
      </c>
      <c r="AF63" s="14" t="n">
        <v>11962.5</v>
      </c>
      <c r="AG63" s="14" t="n">
        <v>21234.51</v>
      </c>
      <c r="AH63" s="4" t="s">
        <v>142</v>
      </c>
      <c r="AI63" s="4" t="s">
        <v>142</v>
      </c>
      <c r="AJ63" s="4"/>
    </row>
    <row r="64" customFormat="false" ht="15" hidden="false" customHeight="false" outlineLevel="0" collapsed="false">
      <c r="A64" s="4" t="s">
        <v>265</v>
      </c>
      <c r="B64" s="4" t="s">
        <v>266</v>
      </c>
      <c r="C64" s="4" t="s">
        <v>83</v>
      </c>
      <c r="D64" s="4" t="s">
        <v>63</v>
      </c>
      <c r="E64" s="4" t="s">
        <v>72</v>
      </c>
      <c r="F64" s="4" t="s">
        <v>139</v>
      </c>
      <c r="G64" s="4" t="s">
        <v>140</v>
      </c>
      <c r="H64" s="14" t="n">
        <v>9550.45</v>
      </c>
      <c r="I64" s="14" t="n">
        <v>8500</v>
      </c>
      <c r="J64" s="15" t="n">
        <v>0.33</v>
      </c>
      <c r="K64" s="14" t="n">
        <v>922.14</v>
      </c>
      <c r="L64" s="14" t="n">
        <v>485.38</v>
      </c>
      <c r="M64" s="16" t="n">
        <v>45567</v>
      </c>
      <c r="N64" s="16" t="n">
        <v>45619</v>
      </c>
      <c r="O64" s="16" t="n">
        <v>45635</v>
      </c>
      <c r="P64" s="16" t="n">
        <v>45639</v>
      </c>
      <c r="Q64" s="16" t="n">
        <v>45722</v>
      </c>
      <c r="R64" s="16" t="n">
        <v>45753</v>
      </c>
      <c r="S64" s="16" t="n">
        <v>45797</v>
      </c>
      <c r="T64" s="4" t="n">
        <v>52</v>
      </c>
      <c r="U64" s="4" t="n">
        <v>16</v>
      </c>
      <c r="V64" s="4" t="n">
        <v>4</v>
      </c>
      <c r="W64" s="4" t="n">
        <v>83</v>
      </c>
      <c r="X64" s="4" t="n">
        <v>31</v>
      </c>
      <c r="Y64" s="4" t="n">
        <v>44</v>
      </c>
      <c r="Z64" s="4" t="n">
        <v>72</v>
      </c>
      <c r="AA64" s="4" t="n">
        <v>230</v>
      </c>
      <c r="AB64" s="4" t="n">
        <v>48</v>
      </c>
      <c r="AC64" s="4" t="n">
        <v>99</v>
      </c>
      <c r="AD64" s="14" t="n">
        <v>436.76</v>
      </c>
      <c r="AE64" s="9" t="n">
        <v>47.4</v>
      </c>
      <c r="AF64" s="14" t="n">
        <v>2805</v>
      </c>
      <c r="AG64" s="14" t="n">
        <v>5209.62</v>
      </c>
      <c r="AH64" s="4" t="s">
        <v>141</v>
      </c>
      <c r="AI64" s="4" t="s">
        <v>142</v>
      </c>
      <c r="AJ64" s="4" t="s">
        <v>94</v>
      </c>
    </row>
    <row r="65" customFormat="false" ht="15" hidden="false" customHeight="false" outlineLevel="0" collapsed="false">
      <c r="A65" s="4" t="s">
        <v>267</v>
      </c>
      <c r="B65" s="4" t="s">
        <v>268</v>
      </c>
      <c r="C65" s="4" t="s">
        <v>80</v>
      </c>
      <c r="D65" s="4" t="s">
        <v>63</v>
      </c>
      <c r="E65" s="4" t="s">
        <v>73</v>
      </c>
      <c r="F65" s="4" t="s">
        <v>139</v>
      </c>
      <c r="G65" s="4" t="s">
        <v>140</v>
      </c>
      <c r="H65" s="14" t="n">
        <v>41488.56</v>
      </c>
      <c r="I65" s="14" t="n">
        <v>25000</v>
      </c>
      <c r="J65" s="15" t="n">
        <v>0.33</v>
      </c>
      <c r="K65" s="14" t="n">
        <v>5587.86</v>
      </c>
      <c r="L65" s="14" t="n">
        <v>3664.56</v>
      </c>
      <c r="M65" s="16" t="n">
        <v>45568</v>
      </c>
      <c r="N65" s="16" t="n">
        <v>45726</v>
      </c>
      <c r="O65" s="16" t="n">
        <v>45754</v>
      </c>
      <c r="P65" s="16" t="n">
        <v>45766</v>
      </c>
      <c r="Q65" s="16" t="n">
        <v>45794</v>
      </c>
      <c r="R65" s="16" t="n">
        <v>45828</v>
      </c>
      <c r="S65" s="16" t="n">
        <v>45845</v>
      </c>
      <c r="T65" s="4" t="n">
        <v>158</v>
      </c>
      <c r="U65" s="4" t="n">
        <v>28</v>
      </c>
      <c r="V65" s="4" t="n">
        <v>12</v>
      </c>
      <c r="W65" s="4" t="n">
        <v>28</v>
      </c>
      <c r="X65" s="4" t="n">
        <v>34</v>
      </c>
      <c r="Y65" s="4" t="n">
        <v>17</v>
      </c>
      <c r="Z65" s="4" t="n">
        <v>198</v>
      </c>
      <c r="AA65" s="4" t="n">
        <v>277</v>
      </c>
      <c r="AB65" s="4" t="n">
        <v>29</v>
      </c>
      <c r="AC65" s="4" t="n">
        <v>56</v>
      </c>
      <c r="AD65" s="14" t="n">
        <v>1923.3</v>
      </c>
      <c r="AE65" s="9" t="n">
        <v>34.4</v>
      </c>
      <c r="AF65" s="14" t="n">
        <v>8250</v>
      </c>
      <c r="AG65" s="14" t="n">
        <v>13085.44</v>
      </c>
      <c r="AH65" s="4" t="s">
        <v>142</v>
      </c>
      <c r="AI65" s="4" t="s">
        <v>142</v>
      </c>
      <c r="AJ65" s="4"/>
    </row>
    <row r="66" customFormat="false" ht="15" hidden="false" customHeight="false" outlineLevel="0" collapsed="false">
      <c r="A66" s="4" t="s">
        <v>269</v>
      </c>
      <c r="B66" s="4" t="s">
        <v>270</v>
      </c>
      <c r="C66" s="4" t="s">
        <v>80</v>
      </c>
      <c r="D66" s="4" t="s">
        <v>62</v>
      </c>
      <c r="E66" s="4" t="s">
        <v>72</v>
      </c>
      <c r="F66" s="4" t="s">
        <v>139</v>
      </c>
      <c r="G66" s="4" t="s">
        <v>140</v>
      </c>
      <c r="H66" s="14" t="n">
        <v>28856.49</v>
      </c>
      <c r="I66" s="14" t="n">
        <v>23500</v>
      </c>
      <c r="J66" s="15" t="n">
        <v>0.33</v>
      </c>
      <c r="K66" s="14" t="n">
        <v>5542.75</v>
      </c>
      <c r="L66" s="14" t="n">
        <v>5060.07</v>
      </c>
      <c r="M66" s="16" t="n">
        <v>45570</v>
      </c>
      <c r="N66" s="16" t="n">
        <v>45688</v>
      </c>
      <c r="O66" s="16" t="n">
        <v>45756</v>
      </c>
      <c r="P66" s="16" t="n">
        <v>45809</v>
      </c>
      <c r="Q66" s="16" t="n">
        <v>45837</v>
      </c>
      <c r="R66" s="16" t="n">
        <v>45850</v>
      </c>
      <c r="S66" s="16" t="n">
        <v>45883</v>
      </c>
      <c r="T66" s="4" t="n">
        <v>118</v>
      </c>
      <c r="U66" s="4" t="n">
        <v>68</v>
      </c>
      <c r="V66" s="4" t="n">
        <v>53</v>
      </c>
      <c r="W66" s="4" t="n">
        <v>28</v>
      </c>
      <c r="X66" s="4" t="n">
        <v>13</v>
      </c>
      <c r="Y66" s="4" t="n">
        <v>33</v>
      </c>
      <c r="Z66" s="4" t="n">
        <v>239</v>
      </c>
      <c r="AA66" s="4" t="n">
        <v>313</v>
      </c>
      <c r="AB66" s="4" t="n">
        <v>86</v>
      </c>
      <c r="AC66" s="4" t="n">
        <v>96</v>
      </c>
      <c r="AD66" s="14" t="n">
        <v>482.68</v>
      </c>
      <c r="AE66" s="9" t="n">
        <v>8.7</v>
      </c>
      <c r="AF66" s="14" t="n">
        <v>7755</v>
      </c>
      <c r="AG66" s="14" t="n">
        <v>10684.93</v>
      </c>
      <c r="AH66" s="4" t="s">
        <v>141</v>
      </c>
      <c r="AI66" s="4" t="s">
        <v>142</v>
      </c>
      <c r="AJ66" s="4" t="s">
        <v>98</v>
      </c>
    </row>
    <row r="67" customFormat="false" ht="15" hidden="false" customHeight="false" outlineLevel="0" collapsed="false">
      <c r="A67" s="4" t="s">
        <v>271</v>
      </c>
      <c r="B67" s="4" t="s">
        <v>272</v>
      </c>
      <c r="C67" s="4" t="s">
        <v>80</v>
      </c>
      <c r="D67" s="4" t="s">
        <v>62</v>
      </c>
      <c r="E67" s="4" t="s">
        <v>71</v>
      </c>
      <c r="F67" s="4" t="s">
        <v>139</v>
      </c>
      <c r="G67" s="4" t="s">
        <v>140</v>
      </c>
      <c r="H67" s="14" t="n">
        <v>17253.1</v>
      </c>
      <c r="I67" s="14" t="n">
        <v>25000</v>
      </c>
      <c r="J67" s="15" t="n">
        <v>0.33</v>
      </c>
      <c r="K67" s="14" t="n">
        <v>3191.37</v>
      </c>
      <c r="L67" s="14" t="n">
        <v>3091.31</v>
      </c>
      <c r="M67" s="16" t="n">
        <v>45573</v>
      </c>
      <c r="N67" s="16" t="n">
        <v>45718</v>
      </c>
      <c r="O67" s="16" t="n">
        <v>45750</v>
      </c>
      <c r="P67" s="16" t="n">
        <v>45769</v>
      </c>
      <c r="Q67" s="16" t="n">
        <v>45791</v>
      </c>
      <c r="R67" s="16" t="n">
        <v>45824</v>
      </c>
      <c r="S67" s="16" t="n">
        <v>45863</v>
      </c>
      <c r="T67" s="4" t="n">
        <v>145</v>
      </c>
      <c r="U67" s="4" t="n">
        <v>32</v>
      </c>
      <c r="V67" s="4" t="n">
        <v>19</v>
      </c>
      <c r="W67" s="4" t="n">
        <v>22</v>
      </c>
      <c r="X67" s="4" t="n">
        <v>33</v>
      </c>
      <c r="Y67" s="4" t="n">
        <v>39</v>
      </c>
      <c r="Z67" s="4" t="n">
        <v>196</v>
      </c>
      <c r="AA67" s="4" t="n">
        <v>290</v>
      </c>
      <c r="AB67" s="4" t="n">
        <v>58</v>
      </c>
      <c r="AC67" s="4" t="n">
        <v>54</v>
      </c>
      <c r="AD67" s="14" t="n">
        <v>100.06</v>
      </c>
      <c r="AE67" s="9" t="n">
        <v>3.1</v>
      </c>
      <c r="AF67" s="14" t="n">
        <v>8250</v>
      </c>
      <c r="AG67" s="14" t="n">
        <v>13658.69</v>
      </c>
      <c r="AH67" s="4" t="s">
        <v>142</v>
      </c>
      <c r="AI67" s="4" t="s">
        <v>142</v>
      </c>
      <c r="AJ67" s="4"/>
    </row>
    <row r="68" customFormat="false" ht="15" hidden="false" customHeight="false" outlineLevel="0" collapsed="false">
      <c r="A68" s="4" t="s">
        <v>273</v>
      </c>
      <c r="B68" s="4" t="s">
        <v>274</v>
      </c>
      <c r="C68" s="4" t="s">
        <v>81</v>
      </c>
      <c r="D68" s="4" t="s">
        <v>62</v>
      </c>
      <c r="E68" s="4" t="s">
        <v>73</v>
      </c>
      <c r="F68" s="4" t="s">
        <v>139</v>
      </c>
      <c r="G68" s="4" t="s">
        <v>140</v>
      </c>
      <c r="H68" s="14" t="n">
        <v>73077.56</v>
      </c>
      <c r="I68" s="14" t="n">
        <v>217250</v>
      </c>
      <c r="J68" s="15" t="n">
        <v>0.33</v>
      </c>
      <c r="K68" s="14" t="n">
        <v>0</v>
      </c>
      <c r="L68" s="14" t="n">
        <v>0</v>
      </c>
      <c r="M68" s="16" t="n">
        <v>45577</v>
      </c>
      <c r="N68" s="16" t="n">
        <v>45598</v>
      </c>
      <c r="O68" s="16" t="n">
        <v>45610</v>
      </c>
      <c r="P68" s="16" t="n">
        <v>45629</v>
      </c>
      <c r="Q68" s="16" t="n">
        <v>45655</v>
      </c>
      <c r="R68" s="16" t="n">
        <v>45714</v>
      </c>
      <c r="S68" s="16" t="n">
        <v>45770</v>
      </c>
      <c r="T68" s="4" t="n">
        <v>21</v>
      </c>
      <c r="U68" s="4" t="n">
        <v>12</v>
      </c>
      <c r="V68" s="4" t="n">
        <v>19</v>
      </c>
      <c r="W68" s="4" t="n">
        <v>26</v>
      </c>
      <c r="X68" s="4" t="n">
        <v>59</v>
      </c>
      <c r="Y68" s="4" t="n">
        <v>56</v>
      </c>
      <c r="Z68" s="4" t="n">
        <v>52</v>
      </c>
      <c r="AA68" s="4" t="n">
        <v>193</v>
      </c>
      <c r="AB68" s="4" t="n">
        <v>75</v>
      </c>
      <c r="AC68" s="4" t="n">
        <v>38</v>
      </c>
      <c r="AD68" s="14" t="n">
        <v>0</v>
      </c>
      <c r="AE68" s="9"/>
      <c r="AF68" s="14" t="n">
        <v>71692.5</v>
      </c>
      <c r="AG68" s="14" t="n">
        <v>145557.5</v>
      </c>
      <c r="AH68" s="4" t="s">
        <v>142</v>
      </c>
      <c r="AI68" s="4" t="s">
        <v>142</v>
      </c>
      <c r="AJ68" s="4"/>
    </row>
    <row r="69" customFormat="false" ht="15" hidden="false" customHeight="false" outlineLevel="0" collapsed="false">
      <c r="A69" s="4" t="s">
        <v>275</v>
      </c>
      <c r="B69" s="4" t="s">
        <v>276</v>
      </c>
      <c r="C69" s="4" t="s">
        <v>80</v>
      </c>
      <c r="D69" s="4" t="s">
        <v>62</v>
      </c>
      <c r="E69" s="4" t="s">
        <v>73</v>
      </c>
      <c r="F69" s="4" t="s">
        <v>139</v>
      </c>
      <c r="G69" s="4" t="s">
        <v>140</v>
      </c>
      <c r="H69" s="14" t="n">
        <v>17937</v>
      </c>
      <c r="I69" s="14" t="n">
        <v>17250</v>
      </c>
      <c r="J69" s="15" t="n">
        <v>0.33</v>
      </c>
      <c r="K69" s="14" t="n">
        <v>4834.33</v>
      </c>
      <c r="L69" s="14" t="n">
        <v>4535.02</v>
      </c>
      <c r="M69" s="16" t="n">
        <v>45577</v>
      </c>
      <c r="N69" s="16" t="n">
        <v>45668</v>
      </c>
      <c r="O69" s="16" t="n">
        <v>45689</v>
      </c>
      <c r="P69" s="16" t="n">
        <v>45701</v>
      </c>
      <c r="Q69" s="16" t="n">
        <v>45734</v>
      </c>
      <c r="R69" s="16" t="n">
        <v>45763</v>
      </c>
      <c r="S69" s="16" t="n">
        <v>45807</v>
      </c>
      <c r="T69" s="4" t="n">
        <v>91</v>
      </c>
      <c r="U69" s="4" t="n">
        <v>21</v>
      </c>
      <c r="V69" s="4" t="n">
        <v>12</v>
      </c>
      <c r="W69" s="4" t="n">
        <v>33</v>
      </c>
      <c r="X69" s="4" t="n">
        <v>29</v>
      </c>
      <c r="Y69" s="4" t="n">
        <v>44</v>
      </c>
      <c r="Z69" s="4" t="n">
        <v>124</v>
      </c>
      <c r="AA69" s="4" t="n">
        <v>230</v>
      </c>
      <c r="AB69" s="4" t="n">
        <v>56</v>
      </c>
      <c r="AC69" s="4" t="n">
        <v>54</v>
      </c>
      <c r="AD69" s="14" t="n">
        <v>299.31</v>
      </c>
      <c r="AE69" s="9" t="n">
        <v>6.2</v>
      </c>
      <c r="AF69" s="14" t="n">
        <v>5692.5</v>
      </c>
      <c r="AG69" s="14" t="n">
        <v>7022.48</v>
      </c>
      <c r="AH69" s="4" t="s">
        <v>142</v>
      </c>
      <c r="AI69" s="4" t="s">
        <v>142</v>
      </c>
      <c r="AJ69" s="4"/>
    </row>
    <row r="70" customFormat="false" ht="15" hidden="false" customHeight="false" outlineLevel="0" collapsed="false">
      <c r="A70" s="4" t="s">
        <v>277</v>
      </c>
      <c r="B70" s="4" t="s">
        <v>278</v>
      </c>
      <c r="C70" s="4" t="s">
        <v>82</v>
      </c>
      <c r="D70" s="4" t="s">
        <v>63</v>
      </c>
      <c r="E70" s="4" t="s">
        <v>74</v>
      </c>
      <c r="F70" s="4" t="s">
        <v>139</v>
      </c>
      <c r="G70" s="4" t="s">
        <v>140</v>
      </c>
      <c r="H70" s="14" t="n">
        <v>169880.79</v>
      </c>
      <c r="I70" s="14" t="n">
        <v>50000</v>
      </c>
      <c r="J70" s="15" t="n">
        <v>0.33</v>
      </c>
      <c r="K70" s="14" t="n">
        <v>36502.73</v>
      </c>
      <c r="L70" s="14" t="n">
        <v>17500</v>
      </c>
      <c r="M70" s="16" t="n">
        <v>45581</v>
      </c>
      <c r="N70" s="16" t="n">
        <v>45812</v>
      </c>
      <c r="O70" s="16" t="n">
        <v>45903</v>
      </c>
      <c r="P70" s="16" t="n">
        <v>45922</v>
      </c>
      <c r="Q70" s="16" t="n">
        <v>45956</v>
      </c>
      <c r="R70" s="16" t="n">
        <v>45975</v>
      </c>
      <c r="S70" s="16" t="n">
        <v>46018</v>
      </c>
      <c r="T70" s="4" t="n">
        <v>231</v>
      </c>
      <c r="U70" s="4" t="n">
        <v>91</v>
      </c>
      <c r="V70" s="4" t="n">
        <v>19</v>
      </c>
      <c r="W70" s="4" t="n">
        <v>34</v>
      </c>
      <c r="X70" s="4" t="n">
        <v>19</v>
      </c>
      <c r="Y70" s="4" t="n">
        <v>43</v>
      </c>
      <c r="Z70" s="4" t="n">
        <v>341</v>
      </c>
      <c r="AA70" s="4" t="n">
        <v>437</v>
      </c>
      <c r="AB70" s="4" t="n">
        <v>62</v>
      </c>
      <c r="AC70" s="4" t="n">
        <v>125</v>
      </c>
      <c r="AD70" s="14" t="n">
        <v>19002.73</v>
      </c>
      <c r="AE70" s="9" t="n">
        <v>52.1</v>
      </c>
      <c r="AF70" s="14" t="n">
        <v>16500</v>
      </c>
      <c r="AG70" s="14" t="n">
        <v>16000</v>
      </c>
      <c r="AH70" s="4" t="s">
        <v>141</v>
      </c>
      <c r="AI70" s="4" t="s">
        <v>142</v>
      </c>
      <c r="AJ70" s="4" t="s">
        <v>98</v>
      </c>
    </row>
    <row r="71" customFormat="false" ht="15" hidden="false" customHeight="false" outlineLevel="0" collapsed="false">
      <c r="A71" s="4" t="s">
        <v>279</v>
      </c>
      <c r="B71" s="4" t="s">
        <v>280</v>
      </c>
      <c r="C71" s="4" t="s">
        <v>81</v>
      </c>
      <c r="D71" s="4" t="s">
        <v>63</v>
      </c>
      <c r="E71" s="4" t="s">
        <v>73</v>
      </c>
      <c r="F71" s="4" t="s">
        <v>139</v>
      </c>
      <c r="G71" s="4" t="s">
        <v>140</v>
      </c>
      <c r="H71" s="14" t="n">
        <v>69305.74</v>
      </c>
      <c r="I71" s="14" t="n">
        <v>135750</v>
      </c>
      <c r="J71" s="15" t="n">
        <v>0.33</v>
      </c>
      <c r="K71" s="14" t="n">
        <v>25731.71</v>
      </c>
      <c r="L71" s="14" t="n">
        <v>13972.42</v>
      </c>
      <c r="M71" s="16" t="n">
        <v>45583</v>
      </c>
      <c r="N71" s="16" t="n">
        <v>45632</v>
      </c>
      <c r="O71" s="16" t="n">
        <v>45644</v>
      </c>
      <c r="P71" s="16" t="n">
        <v>45658</v>
      </c>
      <c r="Q71" s="16" t="n">
        <v>45672</v>
      </c>
      <c r="R71" s="16" t="n">
        <v>45716</v>
      </c>
      <c r="S71" s="16" t="n">
        <v>45762</v>
      </c>
      <c r="T71" s="4" t="n">
        <v>49</v>
      </c>
      <c r="U71" s="4" t="n">
        <v>12</v>
      </c>
      <c r="V71" s="4" t="n">
        <v>14</v>
      </c>
      <c r="W71" s="4" t="n">
        <v>14</v>
      </c>
      <c r="X71" s="4" t="n">
        <v>44</v>
      </c>
      <c r="Y71" s="4" t="n">
        <v>46</v>
      </c>
      <c r="Z71" s="4" t="n">
        <v>75</v>
      </c>
      <c r="AA71" s="4" t="n">
        <v>179</v>
      </c>
      <c r="AB71" s="4" t="n">
        <v>60</v>
      </c>
      <c r="AC71" s="4" t="n">
        <v>26</v>
      </c>
      <c r="AD71" s="14" t="n">
        <v>11759.29</v>
      </c>
      <c r="AE71" s="9" t="n">
        <v>45.7</v>
      </c>
      <c r="AF71" s="14" t="n">
        <v>44797.5</v>
      </c>
      <c r="AG71" s="14" t="n">
        <v>76980.08</v>
      </c>
      <c r="AH71" s="4" t="s">
        <v>142</v>
      </c>
      <c r="AI71" s="4" t="s">
        <v>142</v>
      </c>
      <c r="AJ71" s="4"/>
    </row>
    <row r="72" customFormat="false" ht="15" hidden="false" customHeight="false" outlineLevel="0" collapsed="false">
      <c r="A72" s="4" t="s">
        <v>281</v>
      </c>
      <c r="B72" s="4" t="s">
        <v>282</v>
      </c>
      <c r="C72" s="4" t="s">
        <v>80</v>
      </c>
      <c r="D72" s="4" t="s">
        <v>63</v>
      </c>
      <c r="E72" s="4" t="s">
        <v>70</v>
      </c>
      <c r="F72" s="4" t="s">
        <v>139</v>
      </c>
      <c r="G72" s="4" t="s">
        <v>140</v>
      </c>
      <c r="H72" s="14" t="n">
        <v>8473.02</v>
      </c>
      <c r="I72" s="14" t="n">
        <v>11500</v>
      </c>
      <c r="J72" s="15" t="n">
        <v>0.33</v>
      </c>
      <c r="K72" s="14" t="n">
        <v>2289.33</v>
      </c>
      <c r="L72" s="14" t="n">
        <v>2231.81</v>
      </c>
      <c r="M72" s="16" t="n">
        <v>45585</v>
      </c>
      <c r="N72" s="16" t="n">
        <v>45708</v>
      </c>
      <c r="O72" s="16" t="n">
        <v>45858</v>
      </c>
      <c r="P72" s="16" t="n">
        <v>45869</v>
      </c>
      <c r="Q72" s="16" t="n">
        <v>45911</v>
      </c>
      <c r="R72" s="16" t="n">
        <v>46031</v>
      </c>
      <c r="S72" s="16" t="n">
        <v>46049</v>
      </c>
      <c r="T72" s="4" t="n">
        <v>123</v>
      </c>
      <c r="U72" s="4" t="n">
        <v>150</v>
      </c>
      <c r="V72" s="4" t="n">
        <v>11</v>
      </c>
      <c r="W72" s="4" t="n">
        <v>42</v>
      </c>
      <c r="X72" s="4" t="n">
        <v>120</v>
      </c>
      <c r="Y72" s="4" t="n">
        <v>18</v>
      </c>
      <c r="Z72" s="4" t="n">
        <v>284</v>
      </c>
      <c r="AA72" s="4" t="n">
        <v>464</v>
      </c>
      <c r="AB72" s="4" t="n">
        <v>29</v>
      </c>
      <c r="AC72" s="4" t="n">
        <v>192</v>
      </c>
      <c r="AD72" s="14" t="n">
        <v>57.52</v>
      </c>
      <c r="AE72" s="9" t="n">
        <v>2.5</v>
      </c>
      <c r="AF72" s="14" t="n">
        <v>3795</v>
      </c>
      <c r="AG72" s="14" t="n">
        <v>5473.19</v>
      </c>
      <c r="AH72" s="4" t="s">
        <v>141</v>
      </c>
      <c r="AI72" s="4" t="s">
        <v>142</v>
      </c>
      <c r="AJ72" s="4" t="s">
        <v>98</v>
      </c>
    </row>
    <row r="73" customFormat="false" ht="15" hidden="false" customHeight="false" outlineLevel="0" collapsed="false">
      <c r="A73" s="4" t="s">
        <v>283</v>
      </c>
      <c r="B73" s="4" t="s">
        <v>284</v>
      </c>
      <c r="C73" s="4" t="s">
        <v>80</v>
      </c>
      <c r="D73" s="4" t="s">
        <v>63</v>
      </c>
      <c r="E73" s="4" t="s">
        <v>70</v>
      </c>
      <c r="F73" s="4" t="s">
        <v>139</v>
      </c>
      <c r="G73" s="4" t="s">
        <v>140</v>
      </c>
      <c r="H73" s="14" t="n">
        <v>6473.77</v>
      </c>
      <c r="I73" s="14" t="n">
        <v>12000</v>
      </c>
      <c r="J73" s="15" t="n">
        <v>0.33</v>
      </c>
      <c r="K73" s="14" t="n">
        <v>1444.52</v>
      </c>
      <c r="L73" s="14" t="n">
        <v>1063.44</v>
      </c>
      <c r="M73" s="16" t="n">
        <v>45591</v>
      </c>
      <c r="N73" s="16" t="n">
        <v>45708</v>
      </c>
      <c r="O73" s="16" t="n">
        <v>45735</v>
      </c>
      <c r="P73" s="16" t="n">
        <v>45743</v>
      </c>
      <c r="Q73" s="16" t="n">
        <v>45777</v>
      </c>
      <c r="R73" s="16" t="n">
        <v>45803</v>
      </c>
      <c r="S73" s="16" t="n">
        <v>45855</v>
      </c>
      <c r="T73" s="4" t="n">
        <v>117</v>
      </c>
      <c r="U73" s="4" t="n">
        <v>27</v>
      </c>
      <c r="V73" s="4" t="n">
        <v>8</v>
      </c>
      <c r="W73" s="4" t="n">
        <v>34</v>
      </c>
      <c r="X73" s="4" t="n">
        <v>26</v>
      </c>
      <c r="Y73" s="4" t="n">
        <v>52</v>
      </c>
      <c r="Z73" s="4" t="n">
        <v>152</v>
      </c>
      <c r="AA73" s="4" t="n">
        <v>264</v>
      </c>
      <c r="AB73" s="4" t="n">
        <v>60</v>
      </c>
      <c r="AC73" s="4" t="n">
        <v>61</v>
      </c>
      <c r="AD73" s="14" t="n">
        <v>381.08</v>
      </c>
      <c r="AE73" s="9" t="n">
        <v>26.4</v>
      </c>
      <c r="AF73" s="14" t="n">
        <v>3960</v>
      </c>
      <c r="AG73" s="14" t="n">
        <v>6976.56</v>
      </c>
      <c r="AH73" s="4" t="s">
        <v>142</v>
      </c>
      <c r="AI73" s="4" t="s">
        <v>142</v>
      </c>
      <c r="AJ73" s="4"/>
    </row>
    <row r="74" customFormat="false" ht="15" hidden="false" customHeight="false" outlineLevel="0" collapsed="false">
      <c r="A74" s="4" t="s">
        <v>285</v>
      </c>
      <c r="B74" s="4" t="s">
        <v>286</v>
      </c>
      <c r="C74" s="4" t="s">
        <v>80</v>
      </c>
      <c r="D74" s="4" t="s">
        <v>62</v>
      </c>
      <c r="E74" s="4" t="s">
        <v>72</v>
      </c>
      <c r="F74" s="4" t="s">
        <v>139</v>
      </c>
      <c r="G74" s="4" t="s">
        <v>140</v>
      </c>
      <c r="H74" s="14" t="n">
        <v>67750.38</v>
      </c>
      <c r="I74" s="14" t="n">
        <v>15000</v>
      </c>
      <c r="J74" s="15" t="n">
        <v>0.4</v>
      </c>
      <c r="K74" s="14" t="n">
        <v>11691.61</v>
      </c>
      <c r="L74" s="14" t="n">
        <v>5250</v>
      </c>
      <c r="M74" s="16" t="n">
        <v>45592</v>
      </c>
      <c r="N74" s="16" t="n">
        <v>45685</v>
      </c>
      <c r="O74" s="16" t="n">
        <v>45743</v>
      </c>
      <c r="P74" s="16" t="n">
        <v>45771</v>
      </c>
      <c r="Q74" s="16" t="n">
        <v>45826</v>
      </c>
      <c r="R74" s="16" t="n">
        <v>46005</v>
      </c>
      <c r="S74" s="16" t="n">
        <v>46040</v>
      </c>
      <c r="T74" s="4" t="n">
        <v>93</v>
      </c>
      <c r="U74" s="4" t="n">
        <v>58</v>
      </c>
      <c r="V74" s="4" t="n">
        <v>28</v>
      </c>
      <c r="W74" s="4" t="n">
        <v>55</v>
      </c>
      <c r="X74" s="4" t="n">
        <v>179</v>
      </c>
      <c r="Y74" s="4" t="n">
        <v>35</v>
      </c>
      <c r="Z74" s="4" t="n">
        <v>179</v>
      </c>
      <c r="AA74" s="4" t="n">
        <v>448</v>
      </c>
      <c r="AB74" s="4" t="n">
        <v>63</v>
      </c>
      <c r="AC74" s="4" t="n">
        <v>113</v>
      </c>
      <c r="AD74" s="14" t="n">
        <v>6441.61</v>
      </c>
      <c r="AE74" s="9" t="n">
        <v>55.1</v>
      </c>
      <c r="AF74" s="14" t="n">
        <v>6000</v>
      </c>
      <c r="AG74" s="14" t="n">
        <v>3750</v>
      </c>
      <c r="AH74" s="4" t="s">
        <v>141</v>
      </c>
      <c r="AI74" s="4" t="s">
        <v>142</v>
      </c>
      <c r="AJ74" s="4" t="s">
        <v>101</v>
      </c>
    </row>
    <row r="75" customFormat="false" ht="15" hidden="false" customHeight="false" outlineLevel="0" collapsed="false">
      <c r="A75" s="4" t="s">
        <v>287</v>
      </c>
      <c r="B75" s="4" t="s">
        <v>288</v>
      </c>
      <c r="C75" s="4" t="s">
        <v>82</v>
      </c>
      <c r="D75" s="4" t="s">
        <v>61</v>
      </c>
      <c r="E75" s="4" t="s">
        <v>73</v>
      </c>
      <c r="F75" s="4" t="s">
        <v>289</v>
      </c>
      <c r="G75" s="4" t="s">
        <v>290</v>
      </c>
      <c r="H75" s="14" t="n">
        <v>62426.6</v>
      </c>
      <c r="I75" s="14"/>
      <c r="J75" s="15" t="n">
        <v>0.4</v>
      </c>
      <c r="K75" s="14" t="n">
        <v>13399.77</v>
      </c>
      <c r="L75" s="14"/>
      <c r="M75" s="16" t="n">
        <v>45599</v>
      </c>
      <c r="N75" s="16" t="n">
        <v>45981</v>
      </c>
      <c r="O75" s="16" t="n">
        <v>45994</v>
      </c>
      <c r="P75" s="16" t="n">
        <v>45998</v>
      </c>
      <c r="Q75" s="16" t="n">
        <v>46086</v>
      </c>
      <c r="R75" s="4"/>
      <c r="S75" s="4"/>
      <c r="T75" s="4" t="n">
        <v>382</v>
      </c>
      <c r="U75" s="4" t="n">
        <v>13</v>
      </c>
      <c r="V75" s="4" t="n">
        <v>4</v>
      </c>
      <c r="W75" s="4" t="n">
        <v>88</v>
      </c>
      <c r="X75" s="4"/>
      <c r="Y75" s="4"/>
      <c r="Z75" s="4" t="n">
        <v>399</v>
      </c>
      <c r="AA75" s="4"/>
      <c r="AB75" s="4"/>
      <c r="AC75" s="4" t="n">
        <v>101</v>
      </c>
      <c r="AD75" s="14"/>
      <c r="AE75" s="9"/>
      <c r="AF75" s="14"/>
      <c r="AG75" s="14"/>
      <c r="AH75" s="4" t="s">
        <v>141</v>
      </c>
      <c r="AI75" s="4" t="s">
        <v>142</v>
      </c>
      <c r="AJ75" s="4" t="s">
        <v>94</v>
      </c>
    </row>
    <row r="76" customFormat="false" ht="15" hidden="false" customHeight="false" outlineLevel="0" collapsed="false">
      <c r="A76" s="4" t="s">
        <v>291</v>
      </c>
      <c r="B76" s="4" t="s">
        <v>292</v>
      </c>
      <c r="C76" s="4" t="s">
        <v>80</v>
      </c>
      <c r="D76" s="4" t="s">
        <v>59</v>
      </c>
      <c r="E76" s="4" t="s">
        <v>73</v>
      </c>
      <c r="F76" s="4" t="s">
        <v>139</v>
      </c>
      <c r="G76" s="4" t="s">
        <v>140</v>
      </c>
      <c r="H76" s="14" t="n">
        <v>14863.3</v>
      </c>
      <c r="I76" s="14" t="n">
        <v>37250</v>
      </c>
      <c r="J76" s="15" t="n">
        <v>0.33</v>
      </c>
      <c r="K76" s="14" t="n">
        <v>5258.63</v>
      </c>
      <c r="L76" s="14" t="n">
        <v>3380.61</v>
      </c>
      <c r="M76" s="16" t="n">
        <v>45609</v>
      </c>
      <c r="N76" s="16" t="n">
        <v>45711</v>
      </c>
      <c r="O76" s="16" t="n">
        <v>45726</v>
      </c>
      <c r="P76" s="16" t="n">
        <v>45742</v>
      </c>
      <c r="Q76" s="16" t="n">
        <v>45790</v>
      </c>
      <c r="R76" s="16" t="n">
        <v>45811</v>
      </c>
      <c r="S76" s="16" t="n">
        <v>45862</v>
      </c>
      <c r="T76" s="4" t="n">
        <v>102</v>
      </c>
      <c r="U76" s="4" t="n">
        <v>15</v>
      </c>
      <c r="V76" s="4" t="n">
        <v>16</v>
      </c>
      <c r="W76" s="4" t="n">
        <v>48</v>
      </c>
      <c r="X76" s="4" t="n">
        <v>21</v>
      </c>
      <c r="Y76" s="4" t="n">
        <v>51</v>
      </c>
      <c r="Z76" s="4" t="n">
        <v>133</v>
      </c>
      <c r="AA76" s="4" t="n">
        <v>253</v>
      </c>
      <c r="AB76" s="4" t="n">
        <v>67</v>
      </c>
      <c r="AC76" s="4" t="n">
        <v>63</v>
      </c>
      <c r="AD76" s="14" t="n">
        <v>1878.02</v>
      </c>
      <c r="AE76" s="9" t="n">
        <v>35.7</v>
      </c>
      <c r="AF76" s="14" t="n">
        <v>12292.5</v>
      </c>
      <c r="AG76" s="14" t="n">
        <v>21576.89</v>
      </c>
      <c r="AH76" s="4" t="s">
        <v>141</v>
      </c>
      <c r="AI76" s="4" t="s">
        <v>142</v>
      </c>
      <c r="AJ76" s="4" t="s">
        <v>94</v>
      </c>
    </row>
    <row r="77" customFormat="false" ht="15" hidden="false" customHeight="false" outlineLevel="0" collapsed="false">
      <c r="A77" s="4" t="s">
        <v>293</v>
      </c>
      <c r="B77" s="4" t="s">
        <v>294</v>
      </c>
      <c r="C77" s="4" t="s">
        <v>82</v>
      </c>
      <c r="D77" s="4" t="s">
        <v>61</v>
      </c>
      <c r="E77" s="4" t="s">
        <v>74</v>
      </c>
      <c r="F77" s="4" t="s">
        <v>139</v>
      </c>
      <c r="G77" s="4" t="s">
        <v>140</v>
      </c>
      <c r="H77" s="14" t="n">
        <v>22641.81</v>
      </c>
      <c r="I77" s="14" t="n">
        <v>28000</v>
      </c>
      <c r="J77" s="15" t="n">
        <v>0.33</v>
      </c>
      <c r="K77" s="14" t="n">
        <v>8890.6</v>
      </c>
      <c r="L77" s="14" t="n">
        <v>6210.67</v>
      </c>
      <c r="M77" s="16" t="n">
        <v>45610</v>
      </c>
      <c r="N77" s="16" t="n">
        <v>45829</v>
      </c>
      <c r="O77" s="16" t="n">
        <v>45857</v>
      </c>
      <c r="P77" s="16" t="n">
        <v>45870</v>
      </c>
      <c r="Q77" s="16" t="n">
        <v>45904</v>
      </c>
      <c r="R77" s="16" t="n">
        <v>45956</v>
      </c>
      <c r="S77" s="16" t="n">
        <v>45983</v>
      </c>
      <c r="T77" s="4" t="n">
        <v>219</v>
      </c>
      <c r="U77" s="4" t="n">
        <v>28</v>
      </c>
      <c r="V77" s="4" t="n">
        <v>13</v>
      </c>
      <c r="W77" s="4" t="n">
        <v>34</v>
      </c>
      <c r="X77" s="4" t="n">
        <v>52</v>
      </c>
      <c r="Y77" s="4" t="n">
        <v>27</v>
      </c>
      <c r="Z77" s="4" t="n">
        <v>260</v>
      </c>
      <c r="AA77" s="4" t="n">
        <v>373</v>
      </c>
      <c r="AB77" s="4" t="n">
        <v>40</v>
      </c>
      <c r="AC77" s="4" t="n">
        <v>62</v>
      </c>
      <c r="AD77" s="14" t="n">
        <v>2679.93</v>
      </c>
      <c r="AE77" s="9" t="n">
        <v>30.1</v>
      </c>
      <c r="AF77" s="14" t="n">
        <v>9240</v>
      </c>
      <c r="AG77" s="14" t="n">
        <v>12549.33</v>
      </c>
      <c r="AH77" s="4" t="s">
        <v>142</v>
      </c>
      <c r="AI77" s="4" t="s">
        <v>142</v>
      </c>
      <c r="AJ77" s="4"/>
    </row>
    <row r="78" customFormat="false" ht="15" hidden="false" customHeight="false" outlineLevel="0" collapsed="false">
      <c r="A78" s="4" t="s">
        <v>295</v>
      </c>
      <c r="B78" s="4" t="s">
        <v>296</v>
      </c>
      <c r="C78" s="4" t="s">
        <v>80</v>
      </c>
      <c r="D78" s="4" t="s">
        <v>62</v>
      </c>
      <c r="E78" s="4" t="s">
        <v>70</v>
      </c>
      <c r="F78" s="4" t="s">
        <v>139</v>
      </c>
      <c r="G78" s="4" t="s">
        <v>140</v>
      </c>
      <c r="H78" s="14" t="n">
        <v>10581.59</v>
      </c>
      <c r="I78" s="14" t="n">
        <v>15500</v>
      </c>
      <c r="J78" s="15" t="n">
        <v>0.4</v>
      </c>
      <c r="K78" s="14" t="n">
        <v>1668.66</v>
      </c>
      <c r="L78" s="14" t="n">
        <v>1427.63</v>
      </c>
      <c r="M78" s="16" t="n">
        <v>45612</v>
      </c>
      <c r="N78" s="16" t="n">
        <v>45653</v>
      </c>
      <c r="O78" s="16" t="n">
        <v>45683</v>
      </c>
      <c r="P78" s="16" t="n">
        <v>45725</v>
      </c>
      <c r="Q78" s="16" t="n">
        <v>45807</v>
      </c>
      <c r="R78" s="16" t="n">
        <v>46034</v>
      </c>
      <c r="S78" s="16" t="n">
        <v>46087</v>
      </c>
      <c r="T78" s="4" t="n">
        <v>41</v>
      </c>
      <c r="U78" s="4" t="n">
        <v>30</v>
      </c>
      <c r="V78" s="4" t="n">
        <v>42</v>
      </c>
      <c r="W78" s="4" t="n">
        <v>82</v>
      </c>
      <c r="X78" s="4" t="n">
        <v>227</v>
      </c>
      <c r="Y78" s="4" t="n">
        <v>53</v>
      </c>
      <c r="Z78" s="4" t="n">
        <v>113</v>
      </c>
      <c r="AA78" s="4" t="n">
        <v>475</v>
      </c>
      <c r="AB78" s="4" t="n">
        <v>95</v>
      </c>
      <c r="AC78" s="4" t="n">
        <v>112</v>
      </c>
      <c r="AD78" s="14" t="n">
        <v>241.03</v>
      </c>
      <c r="AE78" s="9" t="n">
        <v>14.4</v>
      </c>
      <c r="AF78" s="14" t="n">
        <v>6200</v>
      </c>
      <c r="AG78" s="14" t="n">
        <v>7872.37</v>
      </c>
      <c r="AH78" s="4" t="s">
        <v>141</v>
      </c>
      <c r="AI78" s="4" t="s">
        <v>142</v>
      </c>
      <c r="AJ78" s="4" t="s">
        <v>94</v>
      </c>
    </row>
    <row r="79" customFormat="false" ht="15" hidden="false" customHeight="false" outlineLevel="0" collapsed="false">
      <c r="A79" s="4" t="s">
        <v>297</v>
      </c>
      <c r="B79" s="4" t="s">
        <v>298</v>
      </c>
      <c r="C79" s="4" t="s">
        <v>82</v>
      </c>
      <c r="D79" s="4" t="s">
        <v>60</v>
      </c>
      <c r="E79" s="4" t="s">
        <v>70</v>
      </c>
      <c r="F79" s="4" t="s">
        <v>139</v>
      </c>
      <c r="G79" s="4" t="s">
        <v>140</v>
      </c>
      <c r="H79" s="14" t="n">
        <v>65079.58</v>
      </c>
      <c r="I79" s="14" t="n">
        <v>25000</v>
      </c>
      <c r="J79" s="15" t="n">
        <v>0.33</v>
      </c>
      <c r="K79" s="14" t="n">
        <v>20000</v>
      </c>
      <c r="L79" s="14" t="n">
        <v>8750</v>
      </c>
      <c r="M79" s="16" t="n">
        <v>45613</v>
      </c>
      <c r="N79" s="16" t="n">
        <v>45843</v>
      </c>
      <c r="O79" s="16" t="n">
        <v>45945</v>
      </c>
      <c r="P79" s="16" t="n">
        <v>45955</v>
      </c>
      <c r="Q79" s="16" t="n">
        <v>46010</v>
      </c>
      <c r="R79" s="16" t="n">
        <v>46028</v>
      </c>
      <c r="S79" s="16" t="n">
        <v>46084</v>
      </c>
      <c r="T79" s="4" t="n">
        <v>230</v>
      </c>
      <c r="U79" s="4" t="n">
        <v>102</v>
      </c>
      <c r="V79" s="4" t="n">
        <v>10</v>
      </c>
      <c r="W79" s="4" t="n">
        <v>55</v>
      </c>
      <c r="X79" s="4" t="n">
        <v>18</v>
      </c>
      <c r="Y79" s="4" t="n">
        <v>56</v>
      </c>
      <c r="Z79" s="4" t="n">
        <v>342</v>
      </c>
      <c r="AA79" s="4" t="n">
        <v>471</v>
      </c>
      <c r="AB79" s="4" t="n">
        <v>66</v>
      </c>
      <c r="AC79" s="4" t="n">
        <v>157</v>
      </c>
      <c r="AD79" s="14" t="n">
        <v>11250</v>
      </c>
      <c r="AE79" s="9" t="n">
        <v>56.2</v>
      </c>
      <c r="AF79" s="14" t="n">
        <v>8250</v>
      </c>
      <c r="AG79" s="14" t="n">
        <v>8000</v>
      </c>
      <c r="AH79" s="4" t="s">
        <v>141</v>
      </c>
      <c r="AI79" s="4" t="s">
        <v>142</v>
      </c>
      <c r="AJ79" s="4" t="s">
        <v>101</v>
      </c>
    </row>
    <row r="80" customFormat="false" ht="15" hidden="false" customHeight="false" outlineLevel="0" collapsed="false">
      <c r="A80" s="4" t="s">
        <v>299</v>
      </c>
      <c r="B80" s="4" t="s">
        <v>300</v>
      </c>
      <c r="C80" s="4" t="s">
        <v>82</v>
      </c>
      <c r="D80" s="4" t="s">
        <v>63</v>
      </c>
      <c r="E80" s="4" t="s">
        <v>74</v>
      </c>
      <c r="F80" s="4" t="s">
        <v>139</v>
      </c>
      <c r="G80" s="4" t="s">
        <v>140</v>
      </c>
      <c r="H80" s="14" t="n">
        <v>51508.68</v>
      </c>
      <c r="I80" s="14" t="n">
        <v>50000</v>
      </c>
      <c r="J80" s="15" t="n">
        <v>0.33</v>
      </c>
      <c r="K80" s="14" t="n">
        <v>15000</v>
      </c>
      <c r="L80" s="14" t="n">
        <v>14124.6</v>
      </c>
      <c r="M80" s="16" t="n">
        <v>45622</v>
      </c>
      <c r="N80" s="16" t="n">
        <v>45710</v>
      </c>
      <c r="O80" s="16" t="n">
        <v>45726</v>
      </c>
      <c r="P80" s="16" t="n">
        <v>45743</v>
      </c>
      <c r="Q80" s="16" t="n">
        <v>45788</v>
      </c>
      <c r="R80" s="16" t="n">
        <v>45839</v>
      </c>
      <c r="S80" s="16" t="n">
        <v>45880</v>
      </c>
      <c r="T80" s="4" t="n">
        <v>88</v>
      </c>
      <c r="U80" s="4" t="n">
        <v>16</v>
      </c>
      <c r="V80" s="4" t="n">
        <v>17</v>
      </c>
      <c r="W80" s="4" t="n">
        <v>45</v>
      </c>
      <c r="X80" s="4" t="n">
        <v>51</v>
      </c>
      <c r="Y80" s="4" t="n">
        <v>41</v>
      </c>
      <c r="Z80" s="4" t="n">
        <v>121</v>
      </c>
      <c r="AA80" s="4" t="n">
        <v>258</v>
      </c>
      <c r="AB80" s="4" t="n">
        <v>58</v>
      </c>
      <c r="AC80" s="4" t="n">
        <v>61</v>
      </c>
      <c r="AD80" s="14" t="n">
        <v>875.4</v>
      </c>
      <c r="AE80" s="9" t="n">
        <v>5.8</v>
      </c>
      <c r="AF80" s="14" t="n">
        <v>16500</v>
      </c>
      <c r="AG80" s="14" t="n">
        <v>19375.4</v>
      </c>
      <c r="AH80" s="4" t="s">
        <v>142</v>
      </c>
      <c r="AI80" s="4" t="s">
        <v>142</v>
      </c>
      <c r="AJ80" s="4"/>
    </row>
    <row r="81" customFormat="false" ht="15" hidden="false" customHeight="false" outlineLevel="0" collapsed="false">
      <c r="A81" s="4" t="s">
        <v>301</v>
      </c>
      <c r="B81" s="4" t="s">
        <v>302</v>
      </c>
      <c r="C81" s="4" t="s">
        <v>82</v>
      </c>
      <c r="D81" s="4" t="s">
        <v>60</v>
      </c>
      <c r="E81" s="4" t="s">
        <v>70</v>
      </c>
      <c r="F81" s="4" t="s">
        <v>139</v>
      </c>
      <c r="G81" s="4" t="s">
        <v>140</v>
      </c>
      <c r="H81" s="14" t="n">
        <v>56937.58</v>
      </c>
      <c r="I81" s="14" t="n">
        <v>15000</v>
      </c>
      <c r="J81" s="15" t="n">
        <v>0.33</v>
      </c>
      <c r="K81" s="14" t="n">
        <v>12000</v>
      </c>
      <c r="L81" s="14" t="n">
        <v>5250</v>
      </c>
      <c r="M81" s="16" t="n">
        <v>45624</v>
      </c>
      <c r="N81" s="16" t="n">
        <v>45873</v>
      </c>
      <c r="O81" s="16" t="n">
        <v>45890</v>
      </c>
      <c r="P81" s="16" t="n">
        <v>45916</v>
      </c>
      <c r="Q81" s="16" t="n">
        <v>46003</v>
      </c>
      <c r="R81" s="16" t="n">
        <v>46033</v>
      </c>
      <c r="S81" s="16" t="n">
        <v>46076</v>
      </c>
      <c r="T81" s="4" t="n">
        <v>249</v>
      </c>
      <c r="U81" s="4" t="n">
        <v>17</v>
      </c>
      <c r="V81" s="4" t="n">
        <v>26</v>
      </c>
      <c r="W81" s="4" t="n">
        <v>87</v>
      </c>
      <c r="X81" s="4" t="n">
        <v>30</v>
      </c>
      <c r="Y81" s="4" t="n">
        <v>43</v>
      </c>
      <c r="Z81" s="4" t="n">
        <v>292</v>
      </c>
      <c r="AA81" s="4" t="n">
        <v>452</v>
      </c>
      <c r="AB81" s="4" t="n">
        <v>69</v>
      </c>
      <c r="AC81" s="4" t="n">
        <v>104</v>
      </c>
      <c r="AD81" s="14" t="n">
        <v>6750</v>
      </c>
      <c r="AE81" s="9" t="n">
        <v>56.2</v>
      </c>
      <c r="AF81" s="14" t="n">
        <v>4950</v>
      </c>
      <c r="AG81" s="14" t="n">
        <v>4800</v>
      </c>
      <c r="AH81" s="4" t="s">
        <v>141</v>
      </c>
      <c r="AI81" s="4" t="s">
        <v>142</v>
      </c>
      <c r="AJ81" s="4" t="s">
        <v>94</v>
      </c>
    </row>
    <row r="82" customFormat="false" ht="15" hidden="false" customHeight="false" outlineLevel="0" collapsed="false">
      <c r="A82" s="4" t="s">
        <v>303</v>
      </c>
      <c r="B82" s="4" t="s">
        <v>304</v>
      </c>
      <c r="C82" s="4" t="s">
        <v>81</v>
      </c>
      <c r="D82" s="4" t="s">
        <v>62</v>
      </c>
      <c r="E82" s="4" t="s">
        <v>72</v>
      </c>
      <c r="F82" s="4" t="s">
        <v>139</v>
      </c>
      <c r="G82" s="4" t="s">
        <v>140</v>
      </c>
      <c r="H82" s="14" t="n">
        <v>18963.86</v>
      </c>
      <c r="I82" s="14" t="n">
        <v>43000</v>
      </c>
      <c r="J82" s="15" t="n">
        <v>0.33</v>
      </c>
      <c r="K82" s="14" t="n">
        <v>5478.42</v>
      </c>
      <c r="L82" s="14" t="n">
        <v>3786.58</v>
      </c>
      <c r="M82" s="16" t="n">
        <v>45624</v>
      </c>
      <c r="N82" s="16" t="n">
        <v>45847</v>
      </c>
      <c r="O82" s="16" t="n">
        <v>45856</v>
      </c>
      <c r="P82" s="16" t="n">
        <v>45881</v>
      </c>
      <c r="Q82" s="16" t="n">
        <v>45906</v>
      </c>
      <c r="R82" s="16" t="n">
        <v>45958</v>
      </c>
      <c r="S82" s="16" t="n">
        <v>46016</v>
      </c>
      <c r="T82" s="4" t="n">
        <v>223</v>
      </c>
      <c r="U82" s="4" t="n">
        <v>9</v>
      </c>
      <c r="V82" s="4" t="n">
        <v>25</v>
      </c>
      <c r="W82" s="4" t="n">
        <v>25</v>
      </c>
      <c r="X82" s="4" t="n">
        <v>52</v>
      </c>
      <c r="Y82" s="4" t="n">
        <v>58</v>
      </c>
      <c r="Z82" s="4" t="n">
        <v>257</v>
      </c>
      <c r="AA82" s="4" t="n">
        <v>392</v>
      </c>
      <c r="AB82" s="4" t="n">
        <v>83</v>
      </c>
      <c r="AC82" s="4" t="n">
        <v>34</v>
      </c>
      <c r="AD82" s="14" t="n">
        <v>1691.84</v>
      </c>
      <c r="AE82" s="9" t="n">
        <v>30.9</v>
      </c>
      <c r="AF82" s="14" t="n">
        <v>14190</v>
      </c>
      <c r="AG82" s="14" t="n">
        <v>25023.42</v>
      </c>
      <c r="AH82" s="4" t="s">
        <v>142</v>
      </c>
      <c r="AI82" s="4" t="s">
        <v>142</v>
      </c>
      <c r="AJ82" s="4"/>
    </row>
    <row r="83" customFormat="false" ht="15" hidden="false" customHeight="false" outlineLevel="0" collapsed="false">
      <c r="A83" s="4" t="s">
        <v>305</v>
      </c>
      <c r="B83" s="4" t="s">
        <v>306</v>
      </c>
      <c r="C83" s="4" t="s">
        <v>81</v>
      </c>
      <c r="D83" s="4" t="s">
        <v>61</v>
      </c>
      <c r="E83" s="4" t="s">
        <v>72</v>
      </c>
      <c r="F83" s="4" t="s">
        <v>139</v>
      </c>
      <c r="G83" s="4" t="s">
        <v>140</v>
      </c>
      <c r="H83" s="14" t="n">
        <v>19461.68</v>
      </c>
      <c r="I83" s="14" t="n">
        <v>27500</v>
      </c>
      <c r="J83" s="15" t="n">
        <v>0.33</v>
      </c>
      <c r="K83" s="14" t="n">
        <v>3953.08</v>
      </c>
      <c r="L83" s="14" t="n">
        <v>2404.4</v>
      </c>
      <c r="M83" s="16" t="n">
        <v>45624</v>
      </c>
      <c r="N83" s="16" t="n">
        <v>45793</v>
      </c>
      <c r="O83" s="16" t="n">
        <v>45804</v>
      </c>
      <c r="P83" s="16" t="n">
        <v>45844</v>
      </c>
      <c r="Q83" s="16" t="n">
        <v>45870</v>
      </c>
      <c r="R83" s="16" t="n">
        <v>45916</v>
      </c>
      <c r="S83" s="16" t="n">
        <v>45976</v>
      </c>
      <c r="T83" s="4" t="n">
        <v>169</v>
      </c>
      <c r="U83" s="4" t="n">
        <v>11</v>
      </c>
      <c r="V83" s="4" t="n">
        <v>40</v>
      </c>
      <c r="W83" s="4" t="n">
        <v>26</v>
      </c>
      <c r="X83" s="4" t="n">
        <v>46</v>
      </c>
      <c r="Y83" s="4" t="n">
        <v>60</v>
      </c>
      <c r="Z83" s="4" t="n">
        <v>220</v>
      </c>
      <c r="AA83" s="4" t="n">
        <v>352</v>
      </c>
      <c r="AB83" s="4" t="n">
        <v>100</v>
      </c>
      <c r="AC83" s="4" t="n">
        <v>37</v>
      </c>
      <c r="AD83" s="14" t="n">
        <v>1548.68</v>
      </c>
      <c r="AE83" s="9" t="n">
        <v>39.2</v>
      </c>
      <c r="AF83" s="14" t="n">
        <v>9075</v>
      </c>
      <c r="AG83" s="14" t="n">
        <v>16020.6</v>
      </c>
      <c r="AH83" s="4" t="s">
        <v>142</v>
      </c>
      <c r="AI83" s="4" t="s">
        <v>142</v>
      </c>
      <c r="AJ83" s="4"/>
    </row>
    <row r="84" customFormat="false" ht="15" hidden="false" customHeight="false" outlineLevel="0" collapsed="false">
      <c r="A84" s="4" t="s">
        <v>307</v>
      </c>
      <c r="B84" s="4" t="s">
        <v>308</v>
      </c>
      <c r="C84" s="4" t="s">
        <v>80</v>
      </c>
      <c r="D84" s="4" t="s">
        <v>63</v>
      </c>
      <c r="E84" s="4" t="s">
        <v>74</v>
      </c>
      <c r="F84" s="4" t="s">
        <v>139</v>
      </c>
      <c r="G84" s="4" t="s">
        <v>140</v>
      </c>
      <c r="H84" s="14" t="n">
        <v>12410.79</v>
      </c>
      <c r="I84" s="14" t="n">
        <v>36250</v>
      </c>
      <c r="J84" s="15" t="n">
        <v>0.4</v>
      </c>
      <c r="K84" s="14" t="n">
        <v>4784.77</v>
      </c>
      <c r="L84" s="14" t="n">
        <v>4512.68</v>
      </c>
      <c r="M84" s="16" t="n">
        <v>45626</v>
      </c>
      <c r="N84" s="16" t="n">
        <v>45759</v>
      </c>
      <c r="O84" s="16" t="n">
        <v>45813</v>
      </c>
      <c r="P84" s="16" t="n">
        <v>45822</v>
      </c>
      <c r="Q84" s="16" t="n">
        <v>45855</v>
      </c>
      <c r="R84" s="16" t="n">
        <v>46205</v>
      </c>
      <c r="S84" s="16" t="n">
        <v>46222</v>
      </c>
      <c r="T84" s="4" t="n">
        <v>133</v>
      </c>
      <c r="U84" s="4" t="n">
        <v>54</v>
      </c>
      <c r="V84" s="4" t="n">
        <v>9</v>
      </c>
      <c r="W84" s="4" t="n">
        <v>33</v>
      </c>
      <c r="X84" s="4" t="n">
        <v>350</v>
      </c>
      <c r="Y84" s="4" t="n">
        <v>17</v>
      </c>
      <c r="Z84" s="4" t="n">
        <v>196</v>
      </c>
      <c r="AA84" s="4" t="n">
        <v>596</v>
      </c>
      <c r="AB84" s="4" t="n">
        <v>26</v>
      </c>
      <c r="AC84" s="4" t="n">
        <v>87</v>
      </c>
      <c r="AD84" s="14" t="n">
        <v>272.09</v>
      </c>
      <c r="AE84" s="9" t="n">
        <v>5.7</v>
      </c>
      <c r="AF84" s="14" t="n">
        <v>14500</v>
      </c>
      <c r="AG84" s="14" t="n">
        <v>17237.32</v>
      </c>
      <c r="AH84" s="4" t="s">
        <v>141</v>
      </c>
      <c r="AI84" s="4" t="s">
        <v>142</v>
      </c>
      <c r="AJ84" s="4" t="s">
        <v>98</v>
      </c>
    </row>
    <row r="85" customFormat="false" ht="15" hidden="false" customHeight="false" outlineLevel="0" collapsed="false">
      <c r="A85" s="4" t="s">
        <v>309</v>
      </c>
      <c r="B85" s="4" t="s">
        <v>310</v>
      </c>
      <c r="C85" s="4" t="s">
        <v>80</v>
      </c>
      <c r="D85" s="4" t="s">
        <v>60</v>
      </c>
      <c r="E85" s="4" t="s">
        <v>72</v>
      </c>
      <c r="F85" s="4" t="s">
        <v>139</v>
      </c>
      <c r="G85" s="4" t="s">
        <v>140</v>
      </c>
      <c r="H85" s="14" t="n">
        <v>41717.48</v>
      </c>
      <c r="I85" s="14" t="n">
        <v>60250</v>
      </c>
      <c r="J85" s="15" t="n">
        <v>0.33</v>
      </c>
      <c r="K85" s="14" t="n">
        <v>4792</v>
      </c>
      <c r="L85" s="14" t="n">
        <v>2963.54</v>
      </c>
      <c r="M85" s="16" t="n">
        <v>45628</v>
      </c>
      <c r="N85" s="16" t="n">
        <v>45821</v>
      </c>
      <c r="O85" s="16" t="n">
        <v>45854</v>
      </c>
      <c r="P85" s="16" t="n">
        <v>45886</v>
      </c>
      <c r="Q85" s="16" t="n">
        <v>45966</v>
      </c>
      <c r="R85" s="16" t="n">
        <v>45979</v>
      </c>
      <c r="S85" s="16" t="n">
        <v>46014</v>
      </c>
      <c r="T85" s="4" t="n">
        <v>193</v>
      </c>
      <c r="U85" s="4" t="n">
        <v>33</v>
      </c>
      <c r="V85" s="4" t="n">
        <v>32</v>
      </c>
      <c r="W85" s="4" t="n">
        <v>80</v>
      </c>
      <c r="X85" s="4" t="n">
        <v>13</v>
      </c>
      <c r="Y85" s="4" t="n">
        <v>35</v>
      </c>
      <c r="Z85" s="4" t="n">
        <v>258</v>
      </c>
      <c r="AA85" s="4" t="n">
        <v>386</v>
      </c>
      <c r="AB85" s="4" t="n">
        <v>67</v>
      </c>
      <c r="AC85" s="4" t="n">
        <v>113</v>
      </c>
      <c r="AD85" s="14" t="n">
        <v>1828.46</v>
      </c>
      <c r="AE85" s="9" t="n">
        <v>38.2</v>
      </c>
      <c r="AF85" s="14" t="n">
        <v>19882.5</v>
      </c>
      <c r="AG85" s="14" t="n">
        <v>37403.96</v>
      </c>
      <c r="AH85" s="4" t="s">
        <v>141</v>
      </c>
      <c r="AI85" s="4" t="s">
        <v>142</v>
      </c>
      <c r="AJ85" s="4" t="s">
        <v>94</v>
      </c>
    </row>
    <row r="86" customFormat="false" ht="15" hidden="false" customHeight="false" outlineLevel="0" collapsed="false">
      <c r="A86" s="4" t="s">
        <v>311</v>
      </c>
      <c r="B86" s="4" t="s">
        <v>312</v>
      </c>
      <c r="C86" s="4" t="s">
        <v>83</v>
      </c>
      <c r="D86" s="4" t="s">
        <v>62</v>
      </c>
      <c r="E86" s="4" t="s">
        <v>70</v>
      </c>
      <c r="F86" s="4" t="s">
        <v>139</v>
      </c>
      <c r="G86" s="4" t="s">
        <v>140</v>
      </c>
      <c r="H86" s="14" t="n">
        <v>3049.08</v>
      </c>
      <c r="I86" s="14" t="n">
        <v>5500</v>
      </c>
      <c r="J86" s="15" t="n">
        <v>0.33</v>
      </c>
      <c r="K86" s="14" t="n">
        <v>1008.5</v>
      </c>
      <c r="L86" s="14" t="n">
        <v>926.3</v>
      </c>
      <c r="M86" s="16" t="n">
        <v>45639</v>
      </c>
      <c r="N86" s="16" t="n">
        <v>45710</v>
      </c>
      <c r="O86" s="16" t="n">
        <v>45737</v>
      </c>
      <c r="P86" s="16" t="n">
        <v>45770</v>
      </c>
      <c r="Q86" s="16" t="n">
        <v>45789</v>
      </c>
      <c r="R86" s="16" t="n">
        <v>45813</v>
      </c>
      <c r="S86" s="16" t="n">
        <v>45857</v>
      </c>
      <c r="T86" s="4" t="n">
        <v>71</v>
      </c>
      <c r="U86" s="4" t="n">
        <v>27</v>
      </c>
      <c r="V86" s="4" t="n">
        <v>33</v>
      </c>
      <c r="W86" s="4" t="n">
        <v>19</v>
      </c>
      <c r="X86" s="4" t="n">
        <v>24</v>
      </c>
      <c r="Y86" s="4" t="n">
        <v>44</v>
      </c>
      <c r="Z86" s="4" t="n">
        <v>131</v>
      </c>
      <c r="AA86" s="4" t="n">
        <v>218</v>
      </c>
      <c r="AB86" s="4" t="n">
        <v>77</v>
      </c>
      <c r="AC86" s="4" t="n">
        <v>46</v>
      </c>
      <c r="AD86" s="14" t="n">
        <v>82.2</v>
      </c>
      <c r="AE86" s="9" t="n">
        <v>8.2</v>
      </c>
      <c r="AF86" s="14" t="n">
        <v>1815</v>
      </c>
      <c r="AG86" s="14" t="n">
        <v>2758.7</v>
      </c>
      <c r="AH86" s="4" t="s">
        <v>142</v>
      </c>
      <c r="AI86" s="4" t="s">
        <v>142</v>
      </c>
      <c r="AJ86" s="4"/>
    </row>
    <row r="87" customFormat="false" ht="15" hidden="false" customHeight="false" outlineLevel="0" collapsed="false">
      <c r="A87" s="4" t="s">
        <v>313</v>
      </c>
      <c r="B87" s="4" t="s">
        <v>314</v>
      </c>
      <c r="C87" s="4" t="s">
        <v>80</v>
      </c>
      <c r="D87" s="4" t="s">
        <v>62</v>
      </c>
      <c r="E87" s="4" t="s">
        <v>71</v>
      </c>
      <c r="F87" s="4" t="s">
        <v>139</v>
      </c>
      <c r="G87" s="4" t="s">
        <v>140</v>
      </c>
      <c r="H87" s="14" t="n">
        <v>31357.91</v>
      </c>
      <c r="I87" s="14" t="n">
        <v>50000</v>
      </c>
      <c r="J87" s="15" t="n">
        <v>0.4</v>
      </c>
      <c r="K87" s="14" t="n">
        <v>5734.79</v>
      </c>
      <c r="L87" s="14" t="n">
        <v>3720.92</v>
      </c>
      <c r="M87" s="16" t="n">
        <v>45642</v>
      </c>
      <c r="N87" s="16" t="n">
        <v>45821</v>
      </c>
      <c r="O87" s="16" t="n">
        <v>45902</v>
      </c>
      <c r="P87" s="16" t="n">
        <v>45922</v>
      </c>
      <c r="Q87" s="16" t="n">
        <v>45944</v>
      </c>
      <c r="R87" s="16" t="n">
        <v>46211</v>
      </c>
      <c r="S87" s="16" t="n">
        <v>46248</v>
      </c>
      <c r="T87" s="4" t="n">
        <v>179</v>
      </c>
      <c r="U87" s="4" t="n">
        <v>81</v>
      </c>
      <c r="V87" s="4" t="n">
        <v>20</v>
      </c>
      <c r="W87" s="4" t="n">
        <v>22</v>
      </c>
      <c r="X87" s="4" t="n">
        <v>267</v>
      </c>
      <c r="Y87" s="4" t="n">
        <v>37</v>
      </c>
      <c r="Z87" s="4" t="n">
        <v>280</v>
      </c>
      <c r="AA87" s="4" t="n">
        <v>606</v>
      </c>
      <c r="AB87" s="4" t="n">
        <v>57</v>
      </c>
      <c r="AC87" s="4" t="n">
        <v>103</v>
      </c>
      <c r="AD87" s="14" t="n">
        <v>2013.87</v>
      </c>
      <c r="AE87" s="9" t="n">
        <v>35.1</v>
      </c>
      <c r="AF87" s="14" t="n">
        <v>20000</v>
      </c>
      <c r="AG87" s="14" t="n">
        <v>26279.08</v>
      </c>
      <c r="AH87" s="4" t="s">
        <v>141</v>
      </c>
      <c r="AI87" s="4" t="s">
        <v>142</v>
      </c>
      <c r="AJ87" s="4" t="s">
        <v>98</v>
      </c>
    </row>
    <row r="88" customFormat="false" ht="15" hidden="false" customHeight="false" outlineLevel="0" collapsed="false">
      <c r="A88" s="4" t="s">
        <v>315</v>
      </c>
      <c r="B88" s="4" t="s">
        <v>316</v>
      </c>
      <c r="C88" s="4" t="s">
        <v>82</v>
      </c>
      <c r="D88" s="4" t="s">
        <v>62</v>
      </c>
      <c r="E88" s="4" t="s">
        <v>70</v>
      </c>
      <c r="F88" s="4" t="s">
        <v>139</v>
      </c>
      <c r="G88" s="4" t="s">
        <v>140</v>
      </c>
      <c r="H88" s="14" t="n">
        <v>39108.47</v>
      </c>
      <c r="I88" s="14" t="n">
        <v>25000</v>
      </c>
      <c r="J88" s="15" t="n">
        <v>0.33</v>
      </c>
      <c r="K88" s="14" t="n">
        <v>10827.85</v>
      </c>
      <c r="L88" s="14" t="n">
        <v>8750</v>
      </c>
      <c r="M88" s="16" t="n">
        <v>45644</v>
      </c>
      <c r="N88" s="16" t="n">
        <v>46079</v>
      </c>
      <c r="O88" s="16" t="n">
        <v>46095</v>
      </c>
      <c r="P88" s="16" t="n">
        <v>46165</v>
      </c>
      <c r="Q88" s="16" t="n">
        <v>46219</v>
      </c>
      <c r="R88" s="16" t="n">
        <v>46271</v>
      </c>
      <c r="S88" s="16" t="n">
        <v>46299</v>
      </c>
      <c r="T88" s="4" t="n">
        <v>435</v>
      </c>
      <c r="U88" s="4" t="n">
        <v>16</v>
      </c>
      <c r="V88" s="4" t="n">
        <v>70</v>
      </c>
      <c r="W88" s="4" t="n">
        <v>54</v>
      </c>
      <c r="X88" s="4" t="n">
        <v>52</v>
      </c>
      <c r="Y88" s="4" t="n">
        <v>28</v>
      </c>
      <c r="Z88" s="4" t="n">
        <v>521</v>
      </c>
      <c r="AA88" s="4" t="n">
        <v>655</v>
      </c>
      <c r="AB88" s="4" t="n">
        <v>98</v>
      </c>
      <c r="AC88" s="4" t="n">
        <v>70</v>
      </c>
      <c r="AD88" s="14" t="n">
        <v>2077.85</v>
      </c>
      <c r="AE88" s="9" t="n">
        <v>19.2</v>
      </c>
      <c r="AF88" s="14" t="n">
        <v>8250</v>
      </c>
      <c r="AG88" s="14" t="n">
        <v>8000</v>
      </c>
      <c r="AH88" s="4" t="s">
        <v>141</v>
      </c>
      <c r="AI88" s="4" t="s">
        <v>142</v>
      </c>
      <c r="AJ88" s="4" t="s">
        <v>94</v>
      </c>
    </row>
    <row r="89" customFormat="false" ht="15" hidden="false" customHeight="false" outlineLevel="0" collapsed="false">
      <c r="A89" s="4" t="s">
        <v>317</v>
      </c>
      <c r="B89" s="4" t="s">
        <v>318</v>
      </c>
      <c r="C89" s="4" t="s">
        <v>80</v>
      </c>
      <c r="D89" s="4" t="s">
        <v>63</v>
      </c>
      <c r="E89" s="4" t="s">
        <v>72</v>
      </c>
      <c r="F89" s="4" t="s">
        <v>139</v>
      </c>
      <c r="G89" s="4" t="s">
        <v>140</v>
      </c>
      <c r="H89" s="14" t="n">
        <v>37798.98</v>
      </c>
      <c r="I89" s="14" t="n">
        <v>24500</v>
      </c>
      <c r="J89" s="15" t="n">
        <v>0.4</v>
      </c>
      <c r="K89" s="14" t="n">
        <v>15082.09</v>
      </c>
      <c r="L89" s="14" t="n">
        <v>5748.8</v>
      </c>
      <c r="M89" s="16" t="n">
        <v>45649</v>
      </c>
      <c r="N89" s="16" t="n">
        <v>45762</v>
      </c>
      <c r="O89" s="16" t="n">
        <v>45769</v>
      </c>
      <c r="P89" s="16" t="n">
        <v>45785</v>
      </c>
      <c r="Q89" s="16" t="n">
        <v>45833</v>
      </c>
      <c r="R89" s="16" t="n">
        <v>46067</v>
      </c>
      <c r="S89" s="16" t="n">
        <v>46107</v>
      </c>
      <c r="T89" s="4" t="n">
        <v>113</v>
      </c>
      <c r="U89" s="4" t="n">
        <v>7</v>
      </c>
      <c r="V89" s="4" t="n">
        <v>16</v>
      </c>
      <c r="W89" s="4" t="n">
        <v>48</v>
      </c>
      <c r="X89" s="4" t="n">
        <v>234</v>
      </c>
      <c r="Y89" s="4" t="n">
        <v>40</v>
      </c>
      <c r="Z89" s="4" t="n">
        <v>136</v>
      </c>
      <c r="AA89" s="4" t="n">
        <v>458</v>
      </c>
      <c r="AB89" s="4" t="n">
        <v>56</v>
      </c>
      <c r="AC89" s="4" t="n">
        <v>55</v>
      </c>
      <c r="AD89" s="14" t="n">
        <v>9333.29</v>
      </c>
      <c r="AE89" s="9" t="n">
        <v>61.9</v>
      </c>
      <c r="AF89" s="14" t="n">
        <v>9800</v>
      </c>
      <c r="AG89" s="14" t="n">
        <v>8951.2</v>
      </c>
      <c r="AH89" s="4" t="s">
        <v>141</v>
      </c>
      <c r="AI89" s="4" t="s">
        <v>142</v>
      </c>
      <c r="AJ89" s="4" t="s">
        <v>94</v>
      </c>
    </row>
    <row r="90" customFormat="false" ht="15" hidden="false" customHeight="false" outlineLevel="0" collapsed="false">
      <c r="A90" s="4" t="s">
        <v>319</v>
      </c>
      <c r="B90" s="4" t="s">
        <v>320</v>
      </c>
      <c r="C90" s="4" t="s">
        <v>80</v>
      </c>
      <c r="D90" s="4" t="s">
        <v>63</v>
      </c>
      <c r="E90" s="4" t="s">
        <v>74</v>
      </c>
      <c r="F90" s="4" t="s">
        <v>139</v>
      </c>
      <c r="G90" s="4" t="s">
        <v>140</v>
      </c>
      <c r="H90" s="14" t="n">
        <v>13167.54</v>
      </c>
      <c r="I90" s="14" t="n">
        <v>17500</v>
      </c>
      <c r="J90" s="15" t="n">
        <v>0.33</v>
      </c>
      <c r="K90" s="14" t="n">
        <v>0</v>
      </c>
      <c r="L90" s="14" t="n">
        <v>0</v>
      </c>
      <c r="M90" s="16" t="n">
        <v>45654</v>
      </c>
      <c r="N90" s="16" t="n">
        <v>45755</v>
      </c>
      <c r="O90" s="16" t="n">
        <v>45767</v>
      </c>
      <c r="P90" s="16" t="n">
        <v>45779</v>
      </c>
      <c r="Q90" s="16" t="n">
        <v>45810</v>
      </c>
      <c r="R90" s="16" t="n">
        <v>45822</v>
      </c>
      <c r="S90" s="16" t="n">
        <v>45855</v>
      </c>
      <c r="T90" s="4" t="n">
        <v>101</v>
      </c>
      <c r="U90" s="4" t="n">
        <v>12</v>
      </c>
      <c r="V90" s="4" t="n">
        <v>12</v>
      </c>
      <c r="W90" s="4" t="n">
        <v>31</v>
      </c>
      <c r="X90" s="4" t="n">
        <v>12</v>
      </c>
      <c r="Y90" s="4" t="n">
        <v>33</v>
      </c>
      <c r="Z90" s="4" t="n">
        <v>125</v>
      </c>
      <c r="AA90" s="4" t="n">
        <v>201</v>
      </c>
      <c r="AB90" s="4" t="n">
        <v>45</v>
      </c>
      <c r="AC90" s="4" t="n">
        <v>43</v>
      </c>
      <c r="AD90" s="14" t="n">
        <v>0</v>
      </c>
      <c r="AE90" s="9"/>
      <c r="AF90" s="14" t="n">
        <v>5775</v>
      </c>
      <c r="AG90" s="14" t="n">
        <v>11725</v>
      </c>
      <c r="AH90" s="4" t="s">
        <v>142</v>
      </c>
      <c r="AI90" s="4" t="s">
        <v>142</v>
      </c>
      <c r="AJ90" s="4"/>
    </row>
    <row r="91" customFormat="false" ht="15" hidden="false" customHeight="false" outlineLevel="0" collapsed="false">
      <c r="A91" s="4" t="s">
        <v>321</v>
      </c>
      <c r="B91" s="4" t="s">
        <v>322</v>
      </c>
      <c r="C91" s="4" t="s">
        <v>80</v>
      </c>
      <c r="D91" s="4" t="s">
        <v>59</v>
      </c>
      <c r="E91" s="4" t="s">
        <v>71</v>
      </c>
      <c r="F91" s="4" t="s">
        <v>139</v>
      </c>
      <c r="G91" s="4" t="s">
        <v>140</v>
      </c>
      <c r="H91" s="14" t="n">
        <v>15912.73</v>
      </c>
      <c r="I91" s="14" t="n">
        <v>27250</v>
      </c>
      <c r="J91" s="15" t="n">
        <v>0.33</v>
      </c>
      <c r="K91" s="14" t="n">
        <v>2927.11</v>
      </c>
      <c r="L91" s="14" t="n">
        <v>1223.09</v>
      </c>
      <c r="M91" s="16" t="n">
        <v>45655</v>
      </c>
      <c r="N91" s="16" t="n">
        <v>45913</v>
      </c>
      <c r="O91" s="16" t="n">
        <v>45944</v>
      </c>
      <c r="P91" s="16" t="n">
        <v>45956</v>
      </c>
      <c r="Q91" s="16" t="n">
        <v>45974</v>
      </c>
      <c r="R91" s="16" t="n">
        <v>46013</v>
      </c>
      <c r="S91" s="16" t="n">
        <v>46042</v>
      </c>
      <c r="T91" s="4" t="n">
        <v>258</v>
      </c>
      <c r="U91" s="4" t="n">
        <v>31</v>
      </c>
      <c r="V91" s="4" t="n">
        <v>12</v>
      </c>
      <c r="W91" s="4" t="n">
        <v>18</v>
      </c>
      <c r="X91" s="4" t="n">
        <v>39</v>
      </c>
      <c r="Y91" s="4" t="n">
        <v>29</v>
      </c>
      <c r="Z91" s="4" t="n">
        <v>301</v>
      </c>
      <c r="AA91" s="4" t="n">
        <v>387</v>
      </c>
      <c r="AB91" s="4" t="n">
        <v>41</v>
      </c>
      <c r="AC91" s="4" t="n">
        <v>49</v>
      </c>
      <c r="AD91" s="14" t="n">
        <v>1704.02</v>
      </c>
      <c r="AE91" s="9" t="n">
        <v>58.2</v>
      </c>
      <c r="AF91" s="14" t="n">
        <v>8992.5</v>
      </c>
      <c r="AG91" s="14" t="n">
        <v>17034.41</v>
      </c>
      <c r="AH91" s="4" t="s">
        <v>142</v>
      </c>
      <c r="AI91" s="4" t="s">
        <v>142</v>
      </c>
      <c r="AJ91" s="4"/>
    </row>
    <row r="92" customFormat="false" ht="15" hidden="false" customHeight="false" outlineLevel="0" collapsed="false">
      <c r="A92" s="4" t="s">
        <v>323</v>
      </c>
      <c r="B92" s="4" t="s">
        <v>324</v>
      </c>
      <c r="C92" s="4" t="s">
        <v>83</v>
      </c>
      <c r="D92" s="4" t="s">
        <v>60</v>
      </c>
      <c r="E92" s="4" t="s">
        <v>72</v>
      </c>
      <c r="F92" s="4" t="s">
        <v>139</v>
      </c>
      <c r="G92" s="4" t="s">
        <v>140</v>
      </c>
      <c r="H92" s="14" t="n">
        <v>14178.11</v>
      </c>
      <c r="I92" s="14" t="n">
        <v>21000</v>
      </c>
      <c r="J92" s="15" t="n">
        <v>0.33</v>
      </c>
      <c r="K92" s="14" t="n">
        <v>8074.41</v>
      </c>
      <c r="L92" s="14" t="n">
        <v>6144.34</v>
      </c>
      <c r="M92" s="16" t="n">
        <v>45657</v>
      </c>
      <c r="N92" s="16" t="n">
        <v>45755</v>
      </c>
      <c r="O92" s="16" t="n">
        <v>45774</v>
      </c>
      <c r="P92" s="16" t="n">
        <v>45801</v>
      </c>
      <c r="Q92" s="16" t="n">
        <v>45827</v>
      </c>
      <c r="R92" s="16" t="n">
        <v>45916</v>
      </c>
      <c r="S92" s="16" t="n">
        <v>45974</v>
      </c>
      <c r="T92" s="4" t="n">
        <v>98</v>
      </c>
      <c r="U92" s="4" t="n">
        <v>19</v>
      </c>
      <c r="V92" s="4" t="n">
        <v>27</v>
      </c>
      <c r="W92" s="4" t="n">
        <v>26</v>
      </c>
      <c r="X92" s="4" t="n">
        <v>89</v>
      </c>
      <c r="Y92" s="4" t="n">
        <v>58</v>
      </c>
      <c r="Z92" s="4" t="n">
        <v>144</v>
      </c>
      <c r="AA92" s="4" t="n">
        <v>317</v>
      </c>
      <c r="AB92" s="4" t="n">
        <v>85</v>
      </c>
      <c r="AC92" s="4" t="n">
        <v>45</v>
      </c>
      <c r="AD92" s="14" t="n">
        <v>1930.07</v>
      </c>
      <c r="AE92" s="9" t="n">
        <v>23.9</v>
      </c>
      <c r="AF92" s="14" t="n">
        <v>6930</v>
      </c>
      <c r="AG92" s="14" t="n">
        <v>7925.66</v>
      </c>
      <c r="AH92" s="4" t="s">
        <v>142</v>
      </c>
      <c r="AI92" s="4" t="s">
        <v>142</v>
      </c>
      <c r="AJ92" s="4"/>
    </row>
    <row r="93" customFormat="false" ht="15" hidden="false" customHeight="false" outlineLevel="0" collapsed="false">
      <c r="A93" s="4" t="s">
        <v>325</v>
      </c>
      <c r="B93" s="4" t="s">
        <v>326</v>
      </c>
      <c r="C93" s="4" t="s">
        <v>80</v>
      </c>
      <c r="D93" s="4" t="s">
        <v>59</v>
      </c>
      <c r="E93" s="4" t="s">
        <v>74</v>
      </c>
      <c r="F93" s="4" t="s">
        <v>139</v>
      </c>
      <c r="G93" s="4" t="s">
        <v>140</v>
      </c>
      <c r="H93" s="14" t="n">
        <v>26615.93</v>
      </c>
      <c r="I93" s="14" t="n">
        <v>40250</v>
      </c>
      <c r="J93" s="15" t="n">
        <v>0.33</v>
      </c>
      <c r="K93" s="14" t="n">
        <v>9999.98</v>
      </c>
      <c r="L93" s="14" t="n">
        <v>9804.5</v>
      </c>
      <c r="M93" s="16" t="n">
        <v>45665</v>
      </c>
      <c r="N93" s="16" t="n">
        <v>45805</v>
      </c>
      <c r="O93" s="16" t="n">
        <v>45825</v>
      </c>
      <c r="P93" s="16" t="n">
        <v>45836</v>
      </c>
      <c r="Q93" s="16" t="n">
        <v>45894</v>
      </c>
      <c r="R93" s="16" t="n">
        <v>45915</v>
      </c>
      <c r="S93" s="16" t="n">
        <v>45931</v>
      </c>
      <c r="T93" s="4" t="n">
        <v>140</v>
      </c>
      <c r="U93" s="4" t="n">
        <v>20</v>
      </c>
      <c r="V93" s="4" t="n">
        <v>11</v>
      </c>
      <c r="W93" s="4" t="n">
        <v>58</v>
      </c>
      <c r="X93" s="4" t="n">
        <v>21</v>
      </c>
      <c r="Y93" s="4" t="n">
        <v>16</v>
      </c>
      <c r="Z93" s="4" t="n">
        <v>171</v>
      </c>
      <c r="AA93" s="4" t="n">
        <v>266</v>
      </c>
      <c r="AB93" s="4" t="n">
        <v>27</v>
      </c>
      <c r="AC93" s="4" t="n">
        <v>78</v>
      </c>
      <c r="AD93" s="14" t="n">
        <v>195.48</v>
      </c>
      <c r="AE93" s="9" t="n">
        <v>2</v>
      </c>
      <c r="AF93" s="14" t="n">
        <v>13282.5</v>
      </c>
      <c r="AG93" s="14" t="n">
        <v>17163</v>
      </c>
      <c r="AH93" s="4" t="s">
        <v>141</v>
      </c>
      <c r="AI93" s="4" t="s">
        <v>142</v>
      </c>
      <c r="AJ93" s="4" t="s">
        <v>94</v>
      </c>
    </row>
    <row r="94" customFormat="false" ht="15" hidden="false" customHeight="false" outlineLevel="0" collapsed="false">
      <c r="A94" s="4" t="s">
        <v>327</v>
      </c>
      <c r="B94" s="4" t="s">
        <v>328</v>
      </c>
      <c r="C94" s="4" t="s">
        <v>80</v>
      </c>
      <c r="D94" s="4" t="s">
        <v>61</v>
      </c>
      <c r="E94" s="4" t="s">
        <v>73</v>
      </c>
      <c r="F94" s="4" t="s">
        <v>139</v>
      </c>
      <c r="G94" s="4" t="s">
        <v>140</v>
      </c>
      <c r="H94" s="14" t="n">
        <v>18818.65</v>
      </c>
      <c r="I94" s="14" t="n">
        <v>25000</v>
      </c>
      <c r="J94" s="15" t="n">
        <v>0.33</v>
      </c>
      <c r="K94" s="14" t="n">
        <v>4235.89</v>
      </c>
      <c r="L94" s="14" t="n">
        <v>2827.83</v>
      </c>
      <c r="M94" s="16" t="n">
        <v>45665</v>
      </c>
      <c r="N94" s="16" t="n">
        <v>45774</v>
      </c>
      <c r="O94" s="16" t="n">
        <v>45784</v>
      </c>
      <c r="P94" s="16" t="n">
        <v>45806</v>
      </c>
      <c r="Q94" s="16" t="n">
        <v>45836</v>
      </c>
      <c r="R94" s="16" t="n">
        <v>45854</v>
      </c>
      <c r="S94" s="16" t="n">
        <v>45880</v>
      </c>
      <c r="T94" s="4" t="n">
        <v>109</v>
      </c>
      <c r="U94" s="4" t="n">
        <v>10</v>
      </c>
      <c r="V94" s="4" t="n">
        <v>22</v>
      </c>
      <c r="W94" s="4" t="n">
        <v>30</v>
      </c>
      <c r="X94" s="4" t="n">
        <v>18</v>
      </c>
      <c r="Y94" s="4" t="n">
        <v>26</v>
      </c>
      <c r="Z94" s="4" t="n">
        <v>141</v>
      </c>
      <c r="AA94" s="4" t="n">
        <v>215</v>
      </c>
      <c r="AB94" s="4" t="n">
        <v>48</v>
      </c>
      <c r="AC94" s="4" t="n">
        <v>40</v>
      </c>
      <c r="AD94" s="14" t="n">
        <v>1408.06</v>
      </c>
      <c r="AE94" s="9" t="n">
        <v>33.2</v>
      </c>
      <c r="AF94" s="14" t="n">
        <v>8250</v>
      </c>
      <c r="AG94" s="14" t="n">
        <v>13922.17</v>
      </c>
      <c r="AH94" s="4" t="s">
        <v>142</v>
      </c>
      <c r="AI94" s="4" t="s">
        <v>142</v>
      </c>
      <c r="AJ94" s="4"/>
    </row>
    <row r="95" customFormat="false" ht="15" hidden="false" customHeight="false" outlineLevel="0" collapsed="false">
      <c r="A95" s="4" t="s">
        <v>329</v>
      </c>
      <c r="B95" s="4" t="s">
        <v>330</v>
      </c>
      <c r="C95" s="4" t="s">
        <v>80</v>
      </c>
      <c r="D95" s="4" t="s">
        <v>61</v>
      </c>
      <c r="E95" s="4" t="s">
        <v>70</v>
      </c>
      <c r="F95" s="4" t="s">
        <v>139</v>
      </c>
      <c r="G95" s="4" t="s">
        <v>140</v>
      </c>
      <c r="H95" s="14" t="n">
        <v>28844.47</v>
      </c>
      <c r="I95" s="14" t="n">
        <v>25000</v>
      </c>
      <c r="J95" s="15" t="n">
        <v>0.33</v>
      </c>
      <c r="K95" s="14" t="n">
        <v>0</v>
      </c>
      <c r="L95" s="14" t="n">
        <v>0</v>
      </c>
      <c r="M95" s="16" t="n">
        <v>45669</v>
      </c>
      <c r="N95" s="16" t="n">
        <v>45892</v>
      </c>
      <c r="O95" s="16" t="n">
        <v>45915</v>
      </c>
      <c r="P95" s="16" t="n">
        <v>45934</v>
      </c>
      <c r="Q95" s="16" t="n">
        <v>46028</v>
      </c>
      <c r="R95" s="16" t="n">
        <v>46047</v>
      </c>
      <c r="S95" s="16" t="n">
        <v>46090</v>
      </c>
      <c r="T95" s="4" t="n">
        <v>223</v>
      </c>
      <c r="U95" s="4" t="n">
        <v>23</v>
      </c>
      <c r="V95" s="4" t="n">
        <v>19</v>
      </c>
      <c r="W95" s="4" t="n">
        <v>94</v>
      </c>
      <c r="X95" s="4" t="n">
        <v>19</v>
      </c>
      <c r="Y95" s="4" t="n">
        <v>43</v>
      </c>
      <c r="Z95" s="4" t="n">
        <v>265</v>
      </c>
      <c r="AA95" s="4" t="n">
        <v>421</v>
      </c>
      <c r="AB95" s="4" t="n">
        <v>62</v>
      </c>
      <c r="AC95" s="4" t="n">
        <v>117</v>
      </c>
      <c r="AD95" s="14" t="n">
        <v>0</v>
      </c>
      <c r="AE95" s="9"/>
      <c r="AF95" s="14" t="n">
        <v>8250</v>
      </c>
      <c r="AG95" s="14" t="n">
        <v>16750</v>
      </c>
      <c r="AH95" s="4" t="s">
        <v>141</v>
      </c>
      <c r="AI95" s="4" t="s">
        <v>142</v>
      </c>
      <c r="AJ95" s="4" t="s">
        <v>94</v>
      </c>
    </row>
    <row r="96" customFormat="false" ht="15" hidden="false" customHeight="false" outlineLevel="0" collapsed="false">
      <c r="A96" s="4" t="s">
        <v>331</v>
      </c>
      <c r="B96" s="4" t="s">
        <v>332</v>
      </c>
      <c r="C96" s="4" t="s">
        <v>83</v>
      </c>
      <c r="D96" s="4" t="s">
        <v>59</v>
      </c>
      <c r="E96" s="4" t="s">
        <v>70</v>
      </c>
      <c r="F96" s="4" t="s">
        <v>139</v>
      </c>
      <c r="G96" s="4" t="s">
        <v>140</v>
      </c>
      <c r="H96" s="14" t="n">
        <v>4307.72</v>
      </c>
      <c r="I96" s="14" t="n">
        <v>8000</v>
      </c>
      <c r="J96" s="15" t="n">
        <v>0.33</v>
      </c>
      <c r="K96" s="14" t="n">
        <v>746.03</v>
      </c>
      <c r="L96" s="14" t="n">
        <v>456.83</v>
      </c>
      <c r="M96" s="16" t="n">
        <v>45670</v>
      </c>
      <c r="N96" s="16" t="n">
        <v>45691</v>
      </c>
      <c r="O96" s="16" t="n">
        <v>45734</v>
      </c>
      <c r="P96" s="16" t="n">
        <v>45745</v>
      </c>
      <c r="Q96" s="16" t="n">
        <v>45816</v>
      </c>
      <c r="R96" s="16" t="n">
        <v>45853</v>
      </c>
      <c r="S96" s="16" t="n">
        <v>45870</v>
      </c>
      <c r="T96" s="4" t="n">
        <v>21</v>
      </c>
      <c r="U96" s="4" t="n">
        <v>43</v>
      </c>
      <c r="V96" s="4" t="n">
        <v>11</v>
      </c>
      <c r="W96" s="4" t="n">
        <v>71</v>
      </c>
      <c r="X96" s="4" t="n">
        <v>37</v>
      </c>
      <c r="Y96" s="4" t="n">
        <v>17</v>
      </c>
      <c r="Z96" s="4" t="n">
        <v>75</v>
      </c>
      <c r="AA96" s="4" t="n">
        <v>200</v>
      </c>
      <c r="AB96" s="4" t="n">
        <v>28</v>
      </c>
      <c r="AC96" s="4" t="n">
        <v>114</v>
      </c>
      <c r="AD96" s="14" t="n">
        <v>289.2</v>
      </c>
      <c r="AE96" s="9" t="n">
        <v>38.8</v>
      </c>
      <c r="AF96" s="14" t="n">
        <v>2640</v>
      </c>
      <c r="AG96" s="14" t="n">
        <v>4903.17</v>
      </c>
      <c r="AH96" s="4" t="s">
        <v>141</v>
      </c>
      <c r="AI96" s="4" t="s">
        <v>142</v>
      </c>
      <c r="AJ96" s="4" t="s">
        <v>94</v>
      </c>
    </row>
    <row r="97" customFormat="false" ht="15" hidden="false" customHeight="false" outlineLevel="0" collapsed="false">
      <c r="A97" s="4" t="s">
        <v>333</v>
      </c>
      <c r="B97" s="4" t="s">
        <v>334</v>
      </c>
      <c r="C97" s="4" t="s">
        <v>82</v>
      </c>
      <c r="D97" s="4" t="s">
        <v>63</v>
      </c>
      <c r="E97" s="4" t="s">
        <v>70</v>
      </c>
      <c r="F97" s="4" t="s">
        <v>289</v>
      </c>
      <c r="G97" s="4" t="s">
        <v>290</v>
      </c>
      <c r="H97" s="14" t="n">
        <v>7801.19</v>
      </c>
      <c r="I97" s="14"/>
      <c r="J97" s="15" t="n">
        <v>0.4</v>
      </c>
      <c r="K97" s="14" t="n">
        <v>1806.37</v>
      </c>
      <c r="L97" s="14"/>
      <c r="M97" s="16" t="n">
        <v>45675</v>
      </c>
      <c r="N97" s="16" t="n">
        <v>45856</v>
      </c>
      <c r="O97" s="16" t="n">
        <v>45876</v>
      </c>
      <c r="P97" s="16" t="n">
        <v>45883</v>
      </c>
      <c r="Q97" s="16" t="n">
        <v>45915</v>
      </c>
      <c r="R97" s="4"/>
      <c r="S97" s="4"/>
      <c r="T97" s="4" t="n">
        <v>181</v>
      </c>
      <c r="U97" s="4" t="n">
        <v>20</v>
      </c>
      <c r="V97" s="4" t="n">
        <v>7</v>
      </c>
      <c r="W97" s="4" t="n">
        <v>32</v>
      </c>
      <c r="X97" s="4"/>
      <c r="Y97" s="4"/>
      <c r="Z97" s="4" t="n">
        <v>208</v>
      </c>
      <c r="AA97" s="4"/>
      <c r="AB97" s="4"/>
      <c r="AC97" s="4" t="n">
        <v>52</v>
      </c>
      <c r="AD97" s="14"/>
      <c r="AE97" s="9"/>
      <c r="AF97" s="14"/>
      <c r="AG97" s="14"/>
      <c r="AH97" s="4" t="s">
        <v>142</v>
      </c>
      <c r="AI97" s="4" t="s">
        <v>142</v>
      </c>
      <c r="AJ97" s="4"/>
    </row>
    <row r="98" customFormat="false" ht="15" hidden="false" customHeight="false" outlineLevel="0" collapsed="false">
      <c r="A98" s="4" t="s">
        <v>335</v>
      </c>
      <c r="B98" s="4" t="s">
        <v>336</v>
      </c>
      <c r="C98" s="4" t="s">
        <v>83</v>
      </c>
      <c r="D98" s="4" t="s">
        <v>59</v>
      </c>
      <c r="E98" s="4" t="s">
        <v>72</v>
      </c>
      <c r="F98" s="4" t="s">
        <v>139</v>
      </c>
      <c r="G98" s="4" t="s">
        <v>140</v>
      </c>
      <c r="H98" s="14" t="n">
        <v>10222.21</v>
      </c>
      <c r="I98" s="14" t="n">
        <v>38250</v>
      </c>
      <c r="J98" s="15" t="n">
        <v>0.33</v>
      </c>
      <c r="K98" s="14" t="n">
        <v>1686.56</v>
      </c>
      <c r="L98" s="14" t="n">
        <v>1163.04</v>
      </c>
      <c r="M98" s="16" t="n">
        <v>45678</v>
      </c>
      <c r="N98" s="16" t="n">
        <v>45699</v>
      </c>
      <c r="O98" s="16" t="n">
        <v>45739</v>
      </c>
      <c r="P98" s="16" t="n">
        <v>45747</v>
      </c>
      <c r="Q98" s="16" t="n">
        <v>45770</v>
      </c>
      <c r="R98" s="16" t="n">
        <v>45824</v>
      </c>
      <c r="S98" s="16" t="n">
        <v>45857</v>
      </c>
      <c r="T98" s="4" t="n">
        <v>21</v>
      </c>
      <c r="U98" s="4" t="n">
        <v>40</v>
      </c>
      <c r="V98" s="4" t="n">
        <v>8</v>
      </c>
      <c r="W98" s="4" t="n">
        <v>23</v>
      </c>
      <c r="X98" s="4" t="n">
        <v>54</v>
      </c>
      <c r="Y98" s="4" t="n">
        <v>33</v>
      </c>
      <c r="Z98" s="4" t="n">
        <v>69</v>
      </c>
      <c r="AA98" s="4" t="n">
        <v>179</v>
      </c>
      <c r="AB98" s="4" t="n">
        <v>41</v>
      </c>
      <c r="AC98" s="4" t="n">
        <v>63</v>
      </c>
      <c r="AD98" s="14" t="n">
        <v>523.52</v>
      </c>
      <c r="AE98" s="9" t="n">
        <v>31</v>
      </c>
      <c r="AF98" s="14" t="n">
        <v>12622.5</v>
      </c>
      <c r="AG98" s="14" t="n">
        <v>24464.46</v>
      </c>
      <c r="AH98" s="4" t="s">
        <v>142</v>
      </c>
      <c r="AI98" s="4" t="s">
        <v>142</v>
      </c>
      <c r="AJ98" s="4"/>
    </row>
    <row r="99" customFormat="false" ht="15" hidden="false" customHeight="false" outlineLevel="0" collapsed="false">
      <c r="A99" s="4" t="s">
        <v>337</v>
      </c>
      <c r="B99" s="4" t="s">
        <v>338</v>
      </c>
      <c r="C99" s="4" t="s">
        <v>81</v>
      </c>
      <c r="D99" s="4" t="s">
        <v>61</v>
      </c>
      <c r="E99" s="4" t="s">
        <v>72</v>
      </c>
      <c r="F99" s="4" t="s">
        <v>139</v>
      </c>
      <c r="G99" s="4" t="s">
        <v>140</v>
      </c>
      <c r="H99" s="14" t="n">
        <v>178292.08</v>
      </c>
      <c r="I99" s="14" t="n">
        <v>300000</v>
      </c>
      <c r="J99" s="15" t="n">
        <v>0.4</v>
      </c>
      <c r="K99" s="14" t="n">
        <v>36438.91</v>
      </c>
      <c r="L99" s="14" t="n">
        <v>20527.01</v>
      </c>
      <c r="M99" s="16" t="n">
        <v>45680</v>
      </c>
      <c r="N99" s="16" t="n">
        <v>45767</v>
      </c>
      <c r="O99" s="16" t="n">
        <v>45856</v>
      </c>
      <c r="P99" s="16" t="n">
        <v>45876</v>
      </c>
      <c r="Q99" s="16" t="n">
        <v>45956</v>
      </c>
      <c r="R99" s="16" t="n">
        <v>46220</v>
      </c>
      <c r="S99" s="16" t="n">
        <v>46277</v>
      </c>
      <c r="T99" s="4" t="n">
        <v>87</v>
      </c>
      <c r="U99" s="4" t="n">
        <v>89</v>
      </c>
      <c r="V99" s="4" t="n">
        <v>20</v>
      </c>
      <c r="W99" s="4" t="n">
        <v>80</v>
      </c>
      <c r="X99" s="4" t="n">
        <v>264</v>
      </c>
      <c r="Y99" s="4" t="n">
        <v>57</v>
      </c>
      <c r="Z99" s="4" t="n">
        <v>196</v>
      </c>
      <c r="AA99" s="4" t="n">
        <v>597</v>
      </c>
      <c r="AB99" s="4" t="n">
        <v>77</v>
      </c>
      <c r="AC99" s="4" t="n">
        <v>169</v>
      </c>
      <c r="AD99" s="14" t="n">
        <v>15911.9</v>
      </c>
      <c r="AE99" s="9" t="n">
        <v>43.7</v>
      </c>
      <c r="AF99" s="14" t="n">
        <v>120000</v>
      </c>
      <c r="AG99" s="14" t="n">
        <v>159472.99</v>
      </c>
      <c r="AH99" s="4" t="s">
        <v>141</v>
      </c>
      <c r="AI99" s="4" t="s">
        <v>142</v>
      </c>
      <c r="AJ99" s="4" t="s">
        <v>101</v>
      </c>
    </row>
    <row r="100" customFormat="false" ht="15" hidden="false" customHeight="false" outlineLevel="0" collapsed="false">
      <c r="A100" s="4" t="s">
        <v>339</v>
      </c>
      <c r="B100" s="4" t="s">
        <v>340</v>
      </c>
      <c r="C100" s="4" t="s">
        <v>80</v>
      </c>
      <c r="D100" s="4" t="s">
        <v>62</v>
      </c>
      <c r="E100" s="4" t="s">
        <v>74</v>
      </c>
      <c r="F100" s="4" t="s">
        <v>139</v>
      </c>
      <c r="G100" s="4" t="s">
        <v>140</v>
      </c>
      <c r="H100" s="14" t="n">
        <v>13492.82</v>
      </c>
      <c r="I100" s="14" t="n">
        <v>22750</v>
      </c>
      <c r="J100" s="15" t="n">
        <v>0.33</v>
      </c>
      <c r="K100" s="14" t="n">
        <v>7190.24</v>
      </c>
      <c r="L100" s="14" t="n">
        <v>4449.08</v>
      </c>
      <c r="M100" s="16" t="n">
        <v>45682</v>
      </c>
      <c r="N100" s="16" t="n">
        <v>45833</v>
      </c>
      <c r="O100" s="16" t="n">
        <v>45897</v>
      </c>
      <c r="P100" s="16" t="n">
        <v>45918</v>
      </c>
      <c r="Q100" s="16" t="n">
        <v>45940</v>
      </c>
      <c r="R100" s="16" t="n">
        <v>45967</v>
      </c>
      <c r="S100" s="16" t="n">
        <v>46017</v>
      </c>
      <c r="T100" s="4" t="n">
        <v>151</v>
      </c>
      <c r="U100" s="4" t="n">
        <v>64</v>
      </c>
      <c r="V100" s="4" t="n">
        <v>21</v>
      </c>
      <c r="W100" s="4" t="n">
        <v>22</v>
      </c>
      <c r="X100" s="4" t="n">
        <v>27</v>
      </c>
      <c r="Y100" s="4" t="n">
        <v>50</v>
      </c>
      <c r="Z100" s="4" t="n">
        <v>236</v>
      </c>
      <c r="AA100" s="4" t="n">
        <v>335</v>
      </c>
      <c r="AB100" s="4" t="n">
        <v>71</v>
      </c>
      <c r="AC100" s="4" t="n">
        <v>86</v>
      </c>
      <c r="AD100" s="14" t="n">
        <v>2741.16</v>
      </c>
      <c r="AE100" s="9" t="n">
        <v>38.1</v>
      </c>
      <c r="AF100" s="14" t="n">
        <v>7507.5</v>
      </c>
      <c r="AG100" s="14" t="n">
        <v>10793.42</v>
      </c>
      <c r="AH100" s="4" t="s">
        <v>141</v>
      </c>
      <c r="AI100" s="4" t="s">
        <v>142</v>
      </c>
      <c r="AJ100" s="4" t="s">
        <v>98</v>
      </c>
    </row>
    <row r="101" customFormat="false" ht="15" hidden="false" customHeight="false" outlineLevel="0" collapsed="false">
      <c r="A101" s="4" t="s">
        <v>341</v>
      </c>
      <c r="B101" s="4" t="s">
        <v>342</v>
      </c>
      <c r="C101" s="4" t="s">
        <v>80</v>
      </c>
      <c r="D101" s="4" t="s">
        <v>61</v>
      </c>
      <c r="E101" s="4" t="s">
        <v>72</v>
      </c>
      <c r="F101" s="4" t="s">
        <v>139</v>
      </c>
      <c r="G101" s="4" t="s">
        <v>140</v>
      </c>
      <c r="H101" s="14" t="n">
        <v>41760.83</v>
      </c>
      <c r="I101" s="14" t="n">
        <v>50000</v>
      </c>
      <c r="J101" s="15" t="n">
        <v>0.33</v>
      </c>
      <c r="K101" s="14" t="n">
        <v>16775.07</v>
      </c>
      <c r="L101" s="14" t="n">
        <v>9860.58</v>
      </c>
      <c r="M101" s="16" t="n">
        <v>45683</v>
      </c>
      <c r="N101" s="16" t="n">
        <v>45788</v>
      </c>
      <c r="O101" s="16" t="n">
        <v>45839</v>
      </c>
      <c r="P101" s="16" t="n">
        <v>45845</v>
      </c>
      <c r="Q101" s="16" t="n">
        <v>45922</v>
      </c>
      <c r="R101" s="16" t="n">
        <v>45951</v>
      </c>
      <c r="S101" s="16" t="n">
        <v>46012</v>
      </c>
      <c r="T101" s="4" t="n">
        <v>105</v>
      </c>
      <c r="U101" s="4" t="n">
        <v>51</v>
      </c>
      <c r="V101" s="4" t="n">
        <v>6</v>
      </c>
      <c r="W101" s="4" t="n">
        <v>77</v>
      </c>
      <c r="X101" s="4" t="n">
        <v>29</v>
      </c>
      <c r="Y101" s="4" t="n">
        <v>61</v>
      </c>
      <c r="Z101" s="4" t="n">
        <v>162</v>
      </c>
      <c r="AA101" s="4" t="n">
        <v>329</v>
      </c>
      <c r="AB101" s="4" t="n">
        <v>67</v>
      </c>
      <c r="AC101" s="4" t="n">
        <v>128</v>
      </c>
      <c r="AD101" s="14" t="n">
        <v>6914.49</v>
      </c>
      <c r="AE101" s="9" t="n">
        <v>41.2</v>
      </c>
      <c r="AF101" s="14" t="n">
        <v>16500</v>
      </c>
      <c r="AG101" s="14" t="n">
        <v>23639.42</v>
      </c>
      <c r="AH101" s="4" t="s">
        <v>141</v>
      </c>
      <c r="AI101" s="4" t="s">
        <v>142</v>
      </c>
      <c r="AJ101" s="4" t="s">
        <v>101</v>
      </c>
    </row>
    <row r="102" customFormat="false" ht="15" hidden="false" customHeight="false" outlineLevel="0" collapsed="false">
      <c r="A102" s="4" t="s">
        <v>343</v>
      </c>
      <c r="B102" s="4" t="s">
        <v>344</v>
      </c>
      <c r="C102" s="4" t="s">
        <v>80</v>
      </c>
      <c r="D102" s="4" t="s">
        <v>60</v>
      </c>
      <c r="E102" s="4" t="s">
        <v>70</v>
      </c>
      <c r="F102" s="4" t="s">
        <v>139</v>
      </c>
      <c r="G102" s="4" t="s">
        <v>140</v>
      </c>
      <c r="H102" s="14" t="n">
        <v>32082.2</v>
      </c>
      <c r="I102" s="14" t="n">
        <v>25000</v>
      </c>
      <c r="J102" s="15" t="n">
        <v>0.33</v>
      </c>
      <c r="K102" s="14" t="n">
        <v>6731.52</v>
      </c>
      <c r="L102" s="14" t="n">
        <v>3436.3</v>
      </c>
      <c r="M102" s="16" t="n">
        <v>45685</v>
      </c>
      <c r="N102" s="16" t="n">
        <v>45894</v>
      </c>
      <c r="O102" s="16" t="n">
        <v>45919</v>
      </c>
      <c r="P102" s="16" t="n">
        <v>45929</v>
      </c>
      <c r="Q102" s="16" t="n">
        <v>45953</v>
      </c>
      <c r="R102" s="16" t="n">
        <v>46028</v>
      </c>
      <c r="S102" s="16" t="n">
        <v>46084</v>
      </c>
      <c r="T102" s="4" t="n">
        <v>209</v>
      </c>
      <c r="U102" s="4" t="n">
        <v>25</v>
      </c>
      <c r="V102" s="4" t="n">
        <v>10</v>
      </c>
      <c r="W102" s="4" t="n">
        <v>24</v>
      </c>
      <c r="X102" s="4" t="n">
        <v>75</v>
      </c>
      <c r="Y102" s="4" t="n">
        <v>56</v>
      </c>
      <c r="Z102" s="4" t="n">
        <v>244</v>
      </c>
      <c r="AA102" s="4" t="n">
        <v>399</v>
      </c>
      <c r="AB102" s="4" t="n">
        <v>66</v>
      </c>
      <c r="AC102" s="4" t="n">
        <v>49</v>
      </c>
      <c r="AD102" s="14" t="n">
        <v>3295.22</v>
      </c>
      <c r="AE102" s="9" t="n">
        <v>49</v>
      </c>
      <c r="AF102" s="14" t="n">
        <v>8250</v>
      </c>
      <c r="AG102" s="14" t="n">
        <v>13313.7</v>
      </c>
      <c r="AH102" s="4" t="s">
        <v>142</v>
      </c>
      <c r="AI102" s="4" t="s">
        <v>142</v>
      </c>
      <c r="AJ102" s="4"/>
    </row>
    <row r="103" customFormat="false" ht="15" hidden="false" customHeight="false" outlineLevel="0" collapsed="false">
      <c r="A103" s="4" t="s">
        <v>345</v>
      </c>
      <c r="B103" s="4" t="s">
        <v>346</v>
      </c>
      <c r="C103" s="4" t="s">
        <v>82</v>
      </c>
      <c r="D103" s="4" t="s">
        <v>59</v>
      </c>
      <c r="E103" s="4" t="s">
        <v>73</v>
      </c>
      <c r="F103" s="4" t="s">
        <v>139</v>
      </c>
      <c r="G103" s="4" t="s">
        <v>140</v>
      </c>
      <c r="H103" s="14" t="n">
        <v>71150.79</v>
      </c>
      <c r="I103" s="14" t="n">
        <v>100000</v>
      </c>
      <c r="J103" s="15" t="n">
        <v>0.33</v>
      </c>
      <c r="K103" s="14" t="n">
        <v>17943.94</v>
      </c>
      <c r="L103" s="14" t="n">
        <v>16308.05</v>
      </c>
      <c r="M103" s="16" t="n">
        <v>45687</v>
      </c>
      <c r="N103" s="16" t="n">
        <v>45894</v>
      </c>
      <c r="O103" s="16" t="n">
        <v>45914</v>
      </c>
      <c r="P103" s="16" t="n">
        <v>45944</v>
      </c>
      <c r="Q103" s="16" t="n">
        <v>45987</v>
      </c>
      <c r="R103" s="16" t="n">
        <v>46027</v>
      </c>
      <c r="S103" s="16" t="n">
        <v>46056</v>
      </c>
      <c r="T103" s="4" t="n">
        <v>207</v>
      </c>
      <c r="U103" s="4" t="n">
        <v>20</v>
      </c>
      <c r="V103" s="4" t="n">
        <v>30</v>
      </c>
      <c r="W103" s="4" t="n">
        <v>43</v>
      </c>
      <c r="X103" s="4" t="n">
        <v>40</v>
      </c>
      <c r="Y103" s="4" t="n">
        <v>29</v>
      </c>
      <c r="Z103" s="4" t="n">
        <v>257</v>
      </c>
      <c r="AA103" s="4" t="n">
        <v>369</v>
      </c>
      <c r="AB103" s="4" t="n">
        <v>59</v>
      </c>
      <c r="AC103" s="4" t="n">
        <v>63</v>
      </c>
      <c r="AD103" s="14" t="n">
        <v>1635.89</v>
      </c>
      <c r="AE103" s="9" t="n">
        <v>9.1</v>
      </c>
      <c r="AF103" s="14" t="n">
        <v>33000</v>
      </c>
      <c r="AG103" s="14" t="n">
        <v>50691.95</v>
      </c>
      <c r="AH103" s="4" t="s">
        <v>142</v>
      </c>
      <c r="AI103" s="4" t="s">
        <v>142</v>
      </c>
      <c r="AJ103" s="4"/>
    </row>
    <row r="104" customFormat="false" ht="15" hidden="false" customHeight="false" outlineLevel="0" collapsed="false">
      <c r="A104" s="4" t="s">
        <v>347</v>
      </c>
      <c r="B104" s="4" t="s">
        <v>348</v>
      </c>
      <c r="C104" s="4" t="s">
        <v>80</v>
      </c>
      <c r="D104" s="4" t="s">
        <v>61</v>
      </c>
      <c r="E104" s="4" t="s">
        <v>74</v>
      </c>
      <c r="F104" s="4" t="s">
        <v>139</v>
      </c>
      <c r="G104" s="4" t="s">
        <v>140</v>
      </c>
      <c r="H104" s="14" t="n">
        <v>25152.55</v>
      </c>
      <c r="I104" s="14" t="n">
        <v>15000</v>
      </c>
      <c r="J104" s="15" t="n">
        <v>0.33</v>
      </c>
      <c r="K104" s="14" t="n">
        <v>12000</v>
      </c>
      <c r="L104" s="14" t="n">
        <v>5250</v>
      </c>
      <c r="M104" s="16" t="n">
        <v>45692</v>
      </c>
      <c r="N104" s="16" t="n">
        <v>45766</v>
      </c>
      <c r="O104" s="16" t="n">
        <v>45779</v>
      </c>
      <c r="P104" s="16" t="n">
        <v>45791</v>
      </c>
      <c r="Q104" s="16" t="n">
        <v>45812</v>
      </c>
      <c r="R104" s="16" t="n">
        <v>45891</v>
      </c>
      <c r="S104" s="16" t="n">
        <v>45917</v>
      </c>
      <c r="T104" s="4" t="n">
        <v>74</v>
      </c>
      <c r="U104" s="4" t="n">
        <v>13</v>
      </c>
      <c r="V104" s="4" t="n">
        <v>12</v>
      </c>
      <c r="W104" s="4" t="n">
        <v>21</v>
      </c>
      <c r="X104" s="4" t="n">
        <v>79</v>
      </c>
      <c r="Y104" s="4" t="n">
        <v>26</v>
      </c>
      <c r="Z104" s="4" t="n">
        <v>99</v>
      </c>
      <c r="AA104" s="4" t="n">
        <v>225</v>
      </c>
      <c r="AB104" s="4" t="n">
        <v>38</v>
      </c>
      <c r="AC104" s="4" t="n">
        <v>34</v>
      </c>
      <c r="AD104" s="14" t="n">
        <v>6750</v>
      </c>
      <c r="AE104" s="9" t="n">
        <v>56.2</v>
      </c>
      <c r="AF104" s="14" t="n">
        <v>4950</v>
      </c>
      <c r="AG104" s="14" t="n">
        <v>4800</v>
      </c>
      <c r="AH104" s="4" t="s">
        <v>142</v>
      </c>
      <c r="AI104" s="4" t="s">
        <v>142</v>
      </c>
      <c r="AJ104" s="4"/>
    </row>
    <row r="105" customFormat="false" ht="15" hidden="false" customHeight="false" outlineLevel="0" collapsed="false">
      <c r="A105" s="4" t="s">
        <v>349</v>
      </c>
      <c r="B105" s="4" t="s">
        <v>350</v>
      </c>
      <c r="C105" s="4" t="s">
        <v>80</v>
      </c>
      <c r="D105" s="4" t="s">
        <v>61</v>
      </c>
      <c r="E105" s="4" t="s">
        <v>71</v>
      </c>
      <c r="F105" s="4" t="s">
        <v>139</v>
      </c>
      <c r="G105" s="4" t="s">
        <v>140</v>
      </c>
      <c r="H105" s="14" t="n">
        <v>53376.05</v>
      </c>
      <c r="I105" s="14" t="n">
        <v>25000</v>
      </c>
      <c r="J105" s="15" t="n">
        <v>0.4</v>
      </c>
      <c r="K105" s="14" t="n">
        <v>7500</v>
      </c>
      <c r="L105" s="14" t="n">
        <v>7288.58</v>
      </c>
      <c r="M105" s="16" t="n">
        <v>45698</v>
      </c>
      <c r="N105" s="16" t="n">
        <v>45870</v>
      </c>
      <c r="O105" s="16" t="n">
        <v>45897</v>
      </c>
      <c r="P105" s="16" t="n">
        <v>45912</v>
      </c>
      <c r="Q105" s="16" t="n">
        <v>45942</v>
      </c>
      <c r="R105" s="16" t="n">
        <v>46249</v>
      </c>
      <c r="S105" s="16" t="n">
        <v>46279</v>
      </c>
      <c r="T105" s="4" t="n">
        <v>172</v>
      </c>
      <c r="U105" s="4" t="n">
        <v>27</v>
      </c>
      <c r="V105" s="4" t="n">
        <v>15</v>
      </c>
      <c r="W105" s="4" t="n">
        <v>30</v>
      </c>
      <c r="X105" s="4" t="n">
        <v>307</v>
      </c>
      <c r="Y105" s="4" t="n">
        <v>30</v>
      </c>
      <c r="Z105" s="4" t="n">
        <v>214</v>
      </c>
      <c r="AA105" s="4" t="n">
        <v>581</v>
      </c>
      <c r="AB105" s="4" t="n">
        <v>45</v>
      </c>
      <c r="AC105" s="4" t="n">
        <v>57</v>
      </c>
      <c r="AD105" s="14" t="n">
        <v>211.42</v>
      </c>
      <c r="AE105" s="9" t="n">
        <v>2.8</v>
      </c>
      <c r="AF105" s="14" t="n">
        <v>10000</v>
      </c>
      <c r="AG105" s="14" t="n">
        <v>7711.42</v>
      </c>
      <c r="AH105" s="4" t="s">
        <v>142</v>
      </c>
      <c r="AI105" s="4" t="s">
        <v>142</v>
      </c>
      <c r="AJ105" s="4"/>
    </row>
    <row r="106" customFormat="false" ht="15" hidden="false" customHeight="false" outlineLevel="0" collapsed="false">
      <c r="A106" s="4" t="s">
        <v>351</v>
      </c>
      <c r="B106" s="4" t="s">
        <v>352</v>
      </c>
      <c r="C106" s="4" t="s">
        <v>81</v>
      </c>
      <c r="D106" s="4" t="s">
        <v>59</v>
      </c>
      <c r="E106" s="4" t="s">
        <v>72</v>
      </c>
      <c r="F106" s="4" t="s">
        <v>139</v>
      </c>
      <c r="G106" s="4" t="s">
        <v>140</v>
      </c>
      <c r="H106" s="14" t="n">
        <v>14315.18</v>
      </c>
      <c r="I106" s="14" t="n">
        <v>21000</v>
      </c>
      <c r="J106" s="15" t="n">
        <v>0.33</v>
      </c>
      <c r="K106" s="14" t="n">
        <v>2375.87</v>
      </c>
      <c r="L106" s="14" t="n">
        <v>1941.5</v>
      </c>
      <c r="M106" s="16" t="n">
        <v>45712</v>
      </c>
      <c r="N106" s="16" t="n">
        <v>45843</v>
      </c>
      <c r="O106" s="16" t="n">
        <v>45860</v>
      </c>
      <c r="P106" s="16" t="n">
        <v>45875</v>
      </c>
      <c r="Q106" s="16" t="n">
        <v>45911</v>
      </c>
      <c r="R106" s="16" t="n">
        <v>45933</v>
      </c>
      <c r="S106" s="16" t="n">
        <v>45956</v>
      </c>
      <c r="T106" s="4" t="n">
        <v>131</v>
      </c>
      <c r="U106" s="4" t="n">
        <v>17</v>
      </c>
      <c r="V106" s="4" t="n">
        <v>15</v>
      </c>
      <c r="W106" s="4" t="n">
        <v>36</v>
      </c>
      <c r="X106" s="4" t="n">
        <v>22</v>
      </c>
      <c r="Y106" s="4" t="n">
        <v>23</v>
      </c>
      <c r="Z106" s="4" t="n">
        <v>163</v>
      </c>
      <c r="AA106" s="4" t="n">
        <v>244</v>
      </c>
      <c r="AB106" s="4" t="n">
        <v>38</v>
      </c>
      <c r="AC106" s="4" t="n">
        <v>53</v>
      </c>
      <c r="AD106" s="14" t="n">
        <v>434.37</v>
      </c>
      <c r="AE106" s="9" t="n">
        <v>18.3</v>
      </c>
      <c r="AF106" s="14" t="n">
        <v>6930</v>
      </c>
      <c r="AG106" s="14" t="n">
        <v>12128.5</v>
      </c>
      <c r="AH106" s="4" t="s">
        <v>142</v>
      </c>
      <c r="AI106" s="4" t="s">
        <v>142</v>
      </c>
      <c r="AJ106" s="4"/>
    </row>
    <row r="107" customFormat="false" ht="15" hidden="false" customHeight="false" outlineLevel="0" collapsed="false">
      <c r="A107" s="4" t="s">
        <v>353</v>
      </c>
      <c r="B107" s="4" t="s">
        <v>354</v>
      </c>
      <c r="C107" s="4" t="s">
        <v>80</v>
      </c>
      <c r="D107" s="4" t="s">
        <v>61</v>
      </c>
      <c r="E107" s="4" t="s">
        <v>72</v>
      </c>
      <c r="F107" s="4" t="s">
        <v>139</v>
      </c>
      <c r="G107" s="4" t="s">
        <v>140</v>
      </c>
      <c r="H107" s="14" t="n">
        <v>5469.02</v>
      </c>
      <c r="I107" s="14" t="n">
        <v>10500</v>
      </c>
      <c r="J107" s="15" t="n">
        <v>0.33</v>
      </c>
      <c r="K107" s="14" t="n">
        <v>618.54</v>
      </c>
      <c r="L107" s="14" t="n">
        <v>251.28</v>
      </c>
      <c r="M107" s="16" t="n">
        <v>45712</v>
      </c>
      <c r="N107" s="16" t="n">
        <v>45881</v>
      </c>
      <c r="O107" s="16" t="n">
        <v>45905</v>
      </c>
      <c r="P107" s="16" t="n">
        <v>45911</v>
      </c>
      <c r="Q107" s="16" t="n">
        <v>45958</v>
      </c>
      <c r="R107" s="16" t="n">
        <v>46011</v>
      </c>
      <c r="S107" s="16" t="n">
        <v>46044</v>
      </c>
      <c r="T107" s="4" t="n">
        <v>169</v>
      </c>
      <c r="U107" s="4" t="n">
        <v>24</v>
      </c>
      <c r="V107" s="4" t="n">
        <v>6</v>
      </c>
      <c r="W107" s="4" t="n">
        <v>47</v>
      </c>
      <c r="X107" s="4" t="n">
        <v>53</v>
      </c>
      <c r="Y107" s="4" t="n">
        <v>33</v>
      </c>
      <c r="Z107" s="4" t="n">
        <v>199</v>
      </c>
      <c r="AA107" s="4" t="n">
        <v>332</v>
      </c>
      <c r="AB107" s="4" t="n">
        <v>39</v>
      </c>
      <c r="AC107" s="4" t="n">
        <v>71</v>
      </c>
      <c r="AD107" s="14" t="n">
        <v>367.26</v>
      </c>
      <c r="AE107" s="9" t="n">
        <v>59.4</v>
      </c>
      <c r="AF107" s="14" t="n">
        <v>3465</v>
      </c>
      <c r="AG107" s="14" t="n">
        <v>6783.72</v>
      </c>
      <c r="AH107" s="4" t="s">
        <v>141</v>
      </c>
      <c r="AI107" s="4" t="s">
        <v>142</v>
      </c>
      <c r="AJ107" s="4" t="s">
        <v>94</v>
      </c>
    </row>
    <row r="108" customFormat="false" ht="15" hidden="false" customHeight="false" outlineLevel="0" collapsed="false">
      <c r="A108" s="4" t="s">
        <v>355</v>
      </c>
      <c r="B108" s="4" t="s">
        <v>356</v>
      </c>
      <c r="C108" s="4" t="s">
        <v>80</v>
      </c>
      <c r="D108" s="4" t="s">
        <v>60</v>
      </c>
      <c r="E108" s="4" t="s">
        <v>71</v>
      </c>
      <c r="F108" s="4" t="s">
        <v>289</v>
      </c>
      <c r="G108" s="4" t="s">
        <v>357</v>
      </c>
      <c r="H108" s="14" t="n">
        <v>37817.28</v>
      </c>
      <c r="I108" s="14" t="n">
        <v>15000</v>
      </c>
      <c r="J108" s="15" t="n">
        <v>0.4</v>
      </c>
      <c r="K108" s="14" t="n">
        <v>4500</v>
      </c>
      <c r="L108" s="14"/>
      <c r="M108" s="16" t="n">
        <v>45719</v>
      </c>
      <c r="N108" s="16" t="n">
        <v>45831</v>
      </c>
      <c r="O108" s="16" t="n">
        <v>45848</v>
      </c>
      <c r="P108" s="16" t="n">
        <v>45876</v>
      </c>
      <c r="Q108" s="16" t="n">
        <v>45911</v>
      </c>
      <c r="R108" s="16" t="n">
        <v>46276</v>
      </c>
      <c r="S108" s="4"/>
      <c r="T108" s="4" t="n">
        <v>112</v>
      </c>
      <c r="U108" s="4" t="n">
        <v>17</v>
      </c>
      <c r="V108" s="4" t="n">
        <v>28</v>
      </c>
      <c r="W108" s="4" t="n">
        <v>35</v>
      </c>
      <c r="X108" s="4" t="n">
        <v>365</v>
      </c>
      <c r="Y108" s="4"/>
      <c r="Z108" s="4" t="n">
        <v>157</v>
      </c>
      <c r="AA108" s="4"/>
      <c r="AB108" s="4"/>
      <c r="AC108" s="4" t="n">
        <v>52</v>
      </c>
      <c r="AD108" s="14"/>
      <c r="AE108" s="9"/>
      <c r="AF108" s="14" t="n">
        <v>6000</v>
      </c>
      <c r="AG108" s="14"/>
      <c r="AH108" s="4" t="s">
        <v>142</v>
      </c>
      <c r="AI108" s="4" t="s">
        <v>142</v>
      </c>
      <c r="AJ108" s="4"/>
    </row>
    <row r="109" customFormat="false" ht="15" hidden="false" customHeight="false" outlineLevel="0" collapsed="false">
      <c r="A109" s="4" t="s">
        <v>358</v>
      </c>
      <c r="B109" s="4" t="s">
        <v>359</v>
      </c>
      <c r="C109" s="4" t="s">
        <v>81</v>
      </c>
      <c r="D109" s="4" t="s">
        <v>63</v>
      </c>
      <c r="E109" s="4" t="s">
        <v>74</v>
      </c>
      <c r="F109" s="4" t="s">
        <v>139</v>
      </c>
      <c r="G109" s="4" t="s">
        <v>140</v>
      </c>
      <c r="H109" s="14" t="n">
        <v>30559.73</v>
      </c>
      <c r="I109" s="14" t="n">
        <v>44750</v>
      </c>
      <c r="J109" s="15" t="n">
        <v>0.4</v>
      </c>
      <c r="K109" s="14" t="n">
        <v>0</v>
      </c>
      <c r="L109" s="14" t="n">
        <v>0</v>
      </c>
      <c r="M109" s="16" t="n">
        <v>45726</v>
      </c>
      <c r="N109" s="16" t="n">
        <v>45953</v>
      </c>
      <c r="O109" s="16" t="n">
        <v>45970</v>
      </c>
      <c r="P109" s="16" t="n">
        <v>45980</v>
      </c>
      <c r="Q109" s="16" t="n">
        <v>45998</v>
      </c>
      <c r="R109" s="16" t="n">
        <v>46278</v>
      </c>
      <c r="S109" s="16" t="n">
        <v>46298</v>
      </c>
      <c r="T109" s="4" t="n">
        <v>227</v>
      </c>
      <c r="U109" s="4" t="n">
        <v>17</v>
      </c>
      <c r="V109" s="4" t="n">
        <v>10</v>
      </c>
      <c r="W109" s="4" t="n">
        <v>18</v>
      </c>
      <c r="X109" s="4" t="n">
        <v>280</v>
      </c>
      <c r="Y109" s="4" t="n">
        <v>20</v>
      </c>
      <c r="Z109" s="4" t="n">
        <v>254</v>
      </c>
      <c r="AA109" s="4" t="n">
        <v>572</v>
      </c>
      <c r="AB109" s="4" t="n">
        <v>30</v>
      </c>
      <c r="AC109" s="4" t="n">
        <v>35</v>
      </c>
      <c r="AD109" s="14" t="n">
        <v>0</v>
      </c>
      <c r="AE109" s="9"/>
      <c r="AF109" s="14" t="n">
        <v>17900</v>
      </c>
      <c r="AG109" s="14" t="n">
        <v>26850</v>
      </c>
      <c r="AH109" s="4" t="s">
        <v>142</v>
      </c>
      <c r="AI109" s="4" t="s">
        <v>142</v>
      </c>
      <c r="AJ109" s="4"/>
    </row>
    <row r="110" customFormat="false" ht="15" hidden="false" customHeight="false" outlineLevel="0" collapsed="false">
      <c r="A110" s="4" t="s">
        <v>360</v>
      </c>
      <c r="B110" s="4" t="s">
        <v>361</v>
      </c>
      <c r="C110" s="4" t="s">
        <v>81</v>
      </c>
      <c r="D110" s="4" t="s">
        <v>60</v>
      </c>
      <c r="E110" s="4" t="s">
        <v>74</v>
      </c>
      <c r="F110" s="4" t="s">
        <v>139</v>
      </c>
      <c r="G110" s="4" t="s">
        <v>140</v>
      </c>
      <c r="H110" s="14" t="n">
        <v>38390.45</v>
      </c>
      <c r="I110" s="14" t="n">
        <v>58500</v>
      </c>
      <c r="J110" s="15" t="n">
        <v>0.33</v>
      </c>
      <c r="K110" s="14" t="n">
        <v>13324.21</v>
      </c>
      <c r="L110" s="14" t="n">
        <v>7073.05</v>
      </c>
      <c r="M110" s="16" t="n">
        <v>45726</v>
      </c>
      <c r="N110" s="16" t="n">
        <v>45823</v>
      </c>
      <c r="O110" s="16" t="n">
        <v>45855</v>
      </c>
      <c r="P110" s="16" t="n">
        <v>45872</v>
      </c>
      <c r="Q110" s="16" t="n">
        <v>45928</v>
      </c>
      <c r="R110" s="16" t="n">
        <v>45958</v>
      </c>
      <c r="S110" s="16" t="n">
        <v>45997</v>
      </c>
      <c r="T110" s="4" t="n">
        <v>97</v>
      </c>
      <c r="U110" s="4" t="n">
        <v>32</v>
      </c>
      <c r="V110" s="4" t="n">
        <v>17</v>
      </c>
      <c r="W110" s="4" t="n">
        <v>56</v>
      </c>
      <c r="X110" s="4" t="n">
        <v>30</v>
      </c>
      <c r="Y110" s="4" t="n">
        <v>39</v>
      </c>
      <c r="Z110" s="4" t="n">
        <v>146</v>
      </c>
      <c r="AA110" s="4" t="n">
        <v>271</v>
      </c>
      <c r="AB110" s="4" t="n">
        <v>56</v>
      </c>
      <c r="AC110" s="4" t="n">
        <v>88</v>
      </c>
      <c r="AD110" s="14" t="n">
        <v>6251.16</v>
      </c>
      <c r="AE110" s="9" t="n">
        <v>46.9</v>
      </c>
      <c r="AF110" s="14" t="n">
        <v>19305</v>
      </c>
      <c r="AG110" s="14" t="n">
        <v>32121.95</v>
      </c>
      <c r="AH110" s="4" t="s">
        <v>141</v>
      </c>
      <c r="AI110" s="4" t="s">
        <v>142</v>
      </c>
      <c r="AJ110" s="4" t="s">
        <v>94</v>
      </c>
    </row>
    <row r="111" customFormat="false" ht="15" hidden="false" customHeight="false" outlineLevel="0" collapsed="false">
      <c r="A111" s="4" t="s">
        <v>362</v>
      </c>
      <c r="B111" s="4" t="s">
        <v>363</v>
      </c>
      <c r="C111" s="4" t="s">
        <v>83</v>
      </c>
      <c r="D111" s="4" t="s">
        <v>62</v>
      </c>
      <c r="E111" s="4" t="s">
        <v>74</v>
      </c>
      <c r="F111" s="4" t="s">
        <v>139</v>
      </c>
      <c r="G111" s="4" t="s">
        <v>140</v>
      </c>
      <c r="H111" s="14" t="n">
        <v>8174.92</v>
      </c>
      <c r="I111" s="14" t="n">
        <v>15750</v>
      </c>
      <c r="J111" s="15" t="n">
        <v>0.33</v>
      </c>
      <c r="K111" s="14" t="n">
        <v>4191.77</v>
      </c>
      <c r="L111" s="14" t="n">
        <v>2268.62</v>
      </c>
      <c r="M111" s="16" t="n">
        <v>45740</v>
      </c>
      <c r="N111" s="16" t="n">
        <v>45795</v>
      </c>
      <c r="O111" s="16" t="n">
        <v>45822</v>
      </c>
      <c r="P111" s="16" t="n">
        <v>45853</v>
      </c>
      <c r="Q111" s="16" t="n">
        <v>45866</v>
      </c>
      <c r="R111" s="16" t="n">
        <v>45874</v>
      </c>
      <c r="S111" s="16" t="n">
        <v>45921</v>
      </c>
      <c r="T111" s="4" t="n">
        <v>55</v>
      </c>
      <c r="U111" s="4" t="n">
        <v>27</v>
      </c>
      <c r="V111" s="4" t="n">
        <v>31</v>
      </c>
      <c r="W111" s="4" t="n">
        <v>13</v>
      </c>
      <c r="X111" s="4" t="n">
        <v>8</v>
      </c>
      <c r="Y111" s="4" t="n">
        <v>47</v>
      </c>
      <c r="Z111" s="4" t="n">
        <v>113</v>
      </c>
      <c r="AA111" s="4" t="n">
        <v>181</v>
      </c>
      <c r="AB111" s="4" t="n">
        <v>78</v>
      </c>
      <c r="AC111" s="4" t="n">
        <v>40</v>
      </c>
      <c r="AD111" s="14" t="n">
        <v>1923.15</v>
      </c>
      <c r="AE111" s="9" t="n">
        <v>45.9</v>
      </c>
      <c r="AF111" s="14" t="n">
        <v>5197.5</v>
      </c>
      <c r="AG111" s="14" t="n">
        <v>8283.88</v>
      </c>
      <c r="AH111" s="4" t="s">
        <v>142</v>
      </c>
      <c r="AI111" s="4" t="s">
        <v>142</v>
      </c>
      <c r="AJ111" s="4"/>
    </row>
    <row r="112" customFormat="false" ht="15" hidden="false" customHeight="false" outlineLevel="0" collapsed="false">
      <c r="A112" s="4" t="s">
        <v>364</v>
      </c>
      <c r="B112" s="4" t="s">
        <v>365</v>
      </c>
      <c r="C112" s="4" t="s">
        <v>80</v>
      </c>
      <c r="D112" s="4" t="s">
        <v>62</v>
      </c>
      <c r="E112" s="4" t="s">
        <v>71</v>
      </c>
      <c r="F112" s="4" t="s">
        <v>139</v>
      </c>
      <c r="G112" s="4" t="s">
        <v>140</v>
      </c>
      <c r="H112" s="14" t="n">
        <v>119925.25</v>
      </c>
      <c r="I112" s="14" t="n">
        <v>179250</v>
      </c>
      <c r="J112" s="15" t="n">
        <v>0.33</v>
      </c>
      <c r="K112" s="14" t="n">
        <v>24326.16</v>
      </c>
      <c r="L112" s="14" t="n">
        <v>15171.34</v>
      </c>
      <c r="M112" s="16" t="n">
        <v>45740</v>
      </c>
      <c r="N112" s="16" t="n">
        <v>45869</v>
      </c>
      <c r="O112" s="16" t="n">
        <v>45911</v>
      </c>
      <c r="P112" s="16" t="n">
        <v>45967</v>
      </c>
      <c r="Q112" s="16" t="n">
        <v>45991</v>
      </c>
      <c r="R112" s="16" t="n">
        <v>46012</v>
      </c>
      <c r="S112" s="16" t="n">
        <v>46055</v>
      </c>
      <c r="T112" s="4" t="n">
        <v>129</v>
      </c>
      <c r="U112" s="4" t="n">
        <v>42</v>
      </c>
      <c r="V112" s="4" t="n">
        <v>56</v>
      </c>
      <c r="W112" s="4" t="n">
        <v>24</v>
      </c>
      <c r="X112" s="4" t="n">
        <v>21</v>
      </c>
      <c r="Y112" s="4" t="n">
        <v>43</v>
      </c>
      <c r="Z112" s="4" t="n">
        <v>227</v>
      </c>
      <c r="AA112" s="4" t="n">
        <v>315</v>
      </c>
      <c r="AB112" s="4" t="n">
        <v>99</v>
      </c>
      <c r="AC112" s="4" t="n">
        <v>66</v>
      </c>
      <c r="AD112" s="14" t="n">
        <v>9154.82</v>
      </c>
      <c r="AE112" s="9" t="n">
        <v>37.6</v>
      </c>
      <c r="AF112" s="14" t="n">
        <v>59152.5</v>
      </c>
      <c r="AG112" s="14" t="n">
        <v>104926.16</v>
      </c>
      <c r="AH112" s="4" t="s">
        <v>142</v>
      </c>
      <c r="AI112" s="4" t="s">
        <v>142</v>
      </c>
      <c r="AJ112" s="4"/>
    </row>
    <row r="113" customFormat="false" ht="15" hidden="false" customHeight="false" outlineLevel="0" collapsed="false">
      <c r="A113" s="4" t="s">
        <v>366</v>
      </c>
      <c r="B113" s="4" t="s">
        <v>367</v>
      </c>
      <c r="C113" s="4" t="s">
        <v>82</v>
      </c>
      <c r="D113" s="4" t="s">
        <v>61</v>
      </c>
      <c r="E113" s="4" t="s">
        <v>71</v>
      </c>
      <c r="F113" s="4" t="s">
        <v>139</v>
      </c>
      <c r="G113" s="4" t="s">
        <v>140</v>
      </c>
      <c r="H113" s="14" t="n">
        <v>54810.64</v>
      </c>
      <c r="I113" s="14" t="n">
        <v>25000</v>
      </c>
      <c r="J113" s="15" t="n">
        <v>0.33</v>
      </c>
      <c r="K113" s="14" t="n">
        <v>0</v>
      </c>
      <c r="L113" s="14" t="n">
        <v>0</v>
      </c>
      <c r="M113" s="16" t="n">
        <v>45749</v>
      </c>
      <c r="N113" s="16" t="n">
        <v>45865</v>
      </c>
      <c r="O113" s="16" t="n">
        <v>45870</v>
      </c>
      <c r="P113" s="16" t="n">
        <v>45881</v>
      </c>
      <c r="Q113" s="16" t="n">
        <v>45891</v>
      </c>
      <c r="R113" s="16" t="n">
        <v>45896</v>
      </c>
      <c r="S113" s="16" t="n">
        <v>45939</v>
      </c>
      <c r="T113" s="4" t="n">
        <v>116</v>
      </c>
      <c r="U113" s="4" t="n">
        <v>5</v>
      </c>
      <c r="V113" s="4" t="n">
        <v>11</v>
      </c>
      <c r="W113" s="4" t="n">
        <v>10</v>
      </c>
      <c r="X113" s="4" t="n">
        <v>5</v>
      </c>
      <c r="Y113" s="4" t="n">
        <v>43</v>
      </c>
      <c r="Z113" s="4" t="n">
        <v>132</v>
      </c>
      <c r="AA113" s="4" t="n">
        <v>190</v>
      </c>
      <c r="AB113" s="4" t="n">
        <v>54</v>
      </c>
      <c r="AC113" s="4" t="n">
        <v>15</v>
      </c>
      <c r="AD113" s="14" t="n">
        <v>0</v>
      </c>
      <c r="AE113" s="9"/>
      <c r="AF113" s="14" t="n">
        <v>8250</v>
      </c>
      <c r="AG113" s="14" t="n">
        <v>16750</v>
      </c>
      <c r="AH113" s="4" t="s">
        <v>142</v>
      </c>
      <c r="AI113" s="4" t="s">
        <v>142</v>
      </c>
      <c r="AJ113" s="4"/>
    </row>
    <row r="114" customFormat="false" ht="15" hidden="false" customHeight="false" outlineLevel="0" collapsed="false">
      <c r="A114" s="4" t="s">
        <v>368</v>
      </c>
      <c r="B114" s="4" t="s">
        <v>369</v>
      </c>
      <c r="C114" s="4" t="s">
        <v>83</v>
      </c>
      <c r="D114" s="4" t="s">
        <v>59</v>
      </c>
      <c r="E114" s="4" t="s">
        <v>70</v>
      </c>
      <c r="F114" s="4" t="s">
        <v>139</v>
      </c>
      <c r="G114" s="4" t="s">
        <v>140</v>
      </c>
      <c r="H114" s="14" t="n">
        <v>4689.8</v>
      </c>
      <c r="I114" s="14" t="n">
        <v>13250</v>
      </c>
      <c r="J114" s="15" t="n">
        <v>0.33</v>
      </c>
      <c r="K114" s="14" t="n">
        <v>1506.16</v>
      </c>
      <c r="L114" s="14" t="n">
        <v>866.16</v>
      </c>
      <c r="M114" s="16" t="n">
        <v>45754</v>
      </c>
      <c r="N114" s="16" t="n">
        <v>45800</v>
      </c>
      <c r="O114" s="16" t="n">
        <v>45822</v>
      </c>
      <c r="P114" s="16" t="n">
        <v>45832</v>
      </c>
      <c r="Q114" s="16" t="n">
        <v>45881</v>
      </c>
      <c r="R114" s="16" t="n">
        <v>45921</v>
      </c>
      <c r="S114" s="16" t="n">
        <v>45935</v>
      </c>
      <c r="T114" s="4" t="n">
        <v>46</v>
      </c>
      <c r="U114" s="4" t="n">
        <v>22</v>
      </c>
      <c r="V114" s="4" t="n">
        <v>10</v>
      </c>
      <c r="W114" s="4" t="n">
        <v>49</v>
      </c>
      <c r="X114" s="4" t="n">
        <v>40</v>
      </c>
      <c r="Y114" s="4" t="n">
        <v>14</v>
      </c>
      <c r="Z114" s="4" t="n">
        <v>78</v>
      </c>
      <c r="AA114" s="4" t="n">
        <v>181</v>
      </c>
      <c r="AB114" s="4" t="n">
        <v>24</v>
      </c>
      <c r="AC114" s="4" t="n">
        <v>71</v>
      </c>
      <c r="AD114" s="14" t="n">
        <v>640</v>
      </c>
      <c r="AE114" s="9" t="n">
        <v>42.5</v>
      </c>
      <c r="AF114" s="14" t="n">
        <v>4372.5</v>
      </c>
      <c r="AG114" s="14" t="n">
        <v>8011.34</v>
      </c>
      <c r="AH114" s="4" t="s">
        <v>141</v>
      </c>
      <c r="AI114" s="4" t="s">
        <v>142</v>
      </c>
      <c r="AJ114" s="4" t="s">
        <v>94</v>
      </c>
    </row>
    <row r="115" customFormat="false" ht="15" hidden="false" customHeight="false" outlineLevel="0" collapsed="false">
      <c r="A115" s="4" t="s">
        <v>370</v>
      </c>
      <c r="B115" s="4" t="s">
        <v>371</v>
      </c>
      <c r="C115" s="4" t="s">
        <v>80</v>
      </c>
      <c r="D115" s="4" t="s">
        <v>60</v>
      </c>
      <c r="E115" s="4" t="s">
        <v>74</v>
      </c>
      <c r="F115" s="4" t="s">
        <v>139</v>
      </c>
      <c r="G115" s="4" t="s">
        <v>140</v>
      </c>
      <c r="H115" s="14" t="n">
        <v>14295.05</v>
      </c>
      <c r="I115" s="14" t="n">
        <v>24250</v>
      </c>
      <c r="J115" s="15" t="n">
        <v>0.33</v>
      </c>
      <c r="K115" s="14" t="n">
        <v>3069.53</v>
      </c>
      <c r="L115" s="14" t="n">
        <v>1481.11</v>
      </c>
      <c r="M115" s="16" t="n">
        <v>45761</v>
      </c>
      <c r="N115" s="16" t="n">
        <v>45818</v>
      </c>
      <c r="O115" s="16" t="n">
        <v>45834</v>
      </c>
      <c r="P115" s="16" t="n">
        <v>45845</v>
      </c>
      <c r="Q115" s="16" t="n">
        <v>45870</v>
      </c>
      <c r="R115" s="16" t="n">
        <v>45888</v>
      </c>
      <c r="S115" s="16" t="n">
        <v>45922</v>
      </c>
      <c r="T115" s="4" t="n">
        <v>57</v>
      </c>
      <c r="U115" s="4" t="n">
        <v>16</v>
      </c>
      <c r="V115" s="4" t="n">
        <v>11</v>
      </c>
      <c r="W115" s="4" t="n">
        <v>25</v>
      </c>
      <c r="X115" s="4" t="n">
        <v>18</v>
      </c>
      <c r="Y115" s="4" t="n">
        <v>34</v>
      </c>
      <c r="Z115" s="4" t="n">
        <v>84</v>
      </c>
      <c r="AA115" s="4" t="n">
        <v>161</v>
      </c>
      <c r="AB115" s="4" t="n">
        <v>45</v>
      </c>
      <c r="AC115" s="4" t="n">
        <v>41</v>
      </c>
      <c r="AD115" s="14" t="n">
        <v>1588.42</v>
      </c>
      <c r="AE115" s="9" t="n">
        <v>51.7</v>
      </c>
      <c r="AF115" s="14" t="n">
        <v>8002.5</v>
      </c>
      <c r="AG115" s="14" t="n">
        <v>14766.39</v>
      </c>
      <c r="AH115" s="4" t="s">
        <v>142</v>
      </c>
      <c r="AI115" s="4" t="s">
        <v>142</v>
      </c>
      <c r="AJ115" s="4"/>
    </row>
    <row r="116" customFormat="false" ht="15" hidden="false" customHeight="false" outlineLevel="0" collapsed="false">
      <c r="A116" s="4" t="s">
        <v>372</v>
      </c>
      <c r="B116" s="4" t="s">
        <v>373</v>
      </c>
      <c r="C116" s="4" t="s">
        <v>80</v>
      </c>
      <c r="D116" s="4" t="s">
        <v>59</v>
      </c>
      <c r="E116" s="4" t="s">
        <v>73</v>
      </c>
      <c r="F116" s="4" t="s">
        <v>139</v>
      </c>
      <c r="G116" s="4" t="s">
        <v>140</v>
      </c>
      <c r="H116" s="14" t="n">
        <v>26368.49</v>
      </c>
      <c r="I116" s="14" t="n">
        <v>64000</v>
      </c>
      <c r="J116" s="15" t="n">
        <v>0.33</v>
      </c>
      <c r="K116" s="14" t="n">
        <v>4875.34</v>
      </c>
      <c r="L116" s="14" t="n">
        <v>3541.09</v>
      </c>
      <c r="M116" s="16" t="n">
        <v>45762</v>
      </c>
      <c r="N116" s="16" t="n">
        <v>45846</v>
      </c>
      <c r="O116" s="16" t="n">
        <v>45867</v>
      </c>
      <c r="P116" s="16" t="n">
        <v>45884</v>
      </c>
      <c r="Q116" s="16" t="n">
        <v>45909</v>
      </c>
      <c r="R116" s="16" t="n">
        <v>45935</v>
      </c>
      <c r="S116" s="16" t="n">
        <v>45964</v>
      </c>
      <c r="T116" s="4" t="n">
        <v>84</v>
      </c>
      <c r="U116" s="4" t="n">
        <v>21</v>
      </c>
      <c r="V116" s="4" t="n">
        <v>17</v>
      </c>
      <c r="W116" s="4" t="n">
        <v>25</v>
      </c>
      <c r="X116" s="4" t="n">
        <v>26</v>
      </c>
      <c r="Y116" s="4" t="n">
        <v>29</v>
      </c>
      <c r="Z116" s="4" t="n">
        <v>122</v>
      </c>
      <c r="AA116" s="4" t="n">
        <v>202</v>
      </c>
      <c r="AB116" s="4" t="n">
        <v>46</v>
      </c>
      <c r="AC116" s="4" t="n">
        <v>46</v>
      </c>
      <c r="AD116" s="14" t="n">
        <v>1334.25</v>
      </c>
      <c r="AE116" s="9" t="n">
        <v>27.4</v>
      </c>
      <c r="AF116" s="14" t="n">
        <v>21120</v>
      </c>
      <c r="AG116" s="14" t="n">
        <v>39338.91</v>
      </c>
      <c r="AH116" s="4" t="s">
        <v>142</v>
      </c>
      <c r="AI116" s="4" t="s">
        <v>142</v>
      </c>
      <c r="AJ116" s="4"/>
    </row>
    <row r="117" customFormat="false" ht="15" hidden="false" customHeight="false" outlineLevel="0" collapsed="false">
      <c r="A117" s="4" t="s">
        <v>374</v>
      </c>
      <c r="B117" s="4" t="s">
        <v>375</v>
      </c>
      <c r="C117" s="4" t="s">
        <v>80</v>
      </c>
      <c r="D117" s="4" t="s">
        <v>59</v>
      </c>
      <c r="E117" s="4" t="s">
        <v>74</v>
      </c>
      <c r="F117" s="4" t="s">
        <v>139</v>
      </c>
      <c r="G117" s="4" t="s">
        <v>140</v>
      </c>
      <c r="H117" s="14" t="n">
        <v>10741.21</v>
      </c>
      <c r="I117" s="14" t="n">
        <v>11000</v>
      </c>
      <c r="J117" s="15" t="n">
        <v>0.33</v>
      </c>
      <c r="K117" s="14" t="n">
        <v>2886.71</v>
      </c>
      <c r="L117" s="14" t="n">
        <v>1444.44</v>
      </c>
      <c r="M117" s="16" t="n">
        <v>45771</v>
      </c>
      <c r="N117" s="16" t="n">
        <v>45970</v>
      </c>
      <c r="O117" s="16" t="n">
        <v>45992</v>
      </c>
      <c r="P117" s="16" t="n">
        <v>46062</v>
      </c>
      <c r="Q117" s="16" t="n">
        <v>46154</v>
      </c>
      <c r="R117" s="16" t="n">
        <v>46245</v>
      </c>
      <c r="S117" s="16" t="n">
        <v>46282</v>
      </c>
      <c r="T117" s="4" t="n">
        <v>199</v>
      </c>
      <c r="U117" s="4" t="n">
        <v>22</v>
      </c>
      <c r="V117" s="4" t="n">
        <v>70</v>
      </c>
      <c r="W117" s="4" t="n">
        <v>92</v>
      </c>
      <c r="X117" s="4" t="n">
        <v>91</v>
      </c>
      <c r="Y117" s="4" t="n">
        <v>37</v>
      </c>
      <c r="Z117" s="4" t="n">
        <v>291</v>
      </c>
      <c r="AA117" s="4" t="n">
        <v>511</v>
      </c>
      <c r="AB117" s="4" t="n">
        <v>107</v>
      </c>
      <c r="AC117" s="4" t="n">
        <v>114</v>
      </c>
      <c r="AD117" s="14" t="n">
        <v>1442.27</v>
      </c>
      <c r="AE117" s="9" t="n">
        <v>50</v>
      </c>
      <c r="AF117" s="14" t="n">
        <v>3630</v>
      </c>
      <c r="AG117" s="14" t="n">
        <v>5925.56</v>
      </c>
      <c r="AH117" s="4" t="s">
        <v>141</v>
      </c>
      <c r="AI117" s="4" t="s">
        <v>142</v>
      </c>
      <c r="AJ117" s="4" t="s">
        <v>94</v>
      </c>
    </row>
    <row r="118" customFormat="false" ht="15" hidden="false" customHeight="false" outlineLevel="0" collapsed="false">
      <c r="A118" s="4" t="s">
        <v>376</v>
      </c>
      <c r="B118" s="4" t="s">
        <v>377</v>
      </c>
      <c r="C118" s="4" t="s">
        <v>80</v>
      </c>
      <c r="D118" s="4" t="s">
        <v>63</v>
      </c>
      <c r="E118" s="4" t="s">
        <v>70</v>
      </c>
      <c r="F118" s="4" t="s">
        <v>139</v>
      </c>
      <c r="G118" s="4" t="s">
        <v>140</v>
      </c>
      <c r="H118" s="14" t="n">
        <v>32474.39</v>
      </c>
      <c r="I118" s="14" t="n">
        <v>25000</v>
      </c>
      <c r="J118" s="15" t="n">
        <v>0.33</v>
      </c>
      <c r="K118" s="14" t="n">
        <v>9026.18</v>
      </c>
      <c r="L118" s="14" t="n">
        <v>5206.23</v>
      </c>
      <c r="M118" s="16" t="n">
        <v>45775</v>
      </c>
      <c r="N118" s="16" t="n">
        <v>45841</v>
      </c>
      <c r="O118" s="16" t="n">
        <v>45898</v>
      </c>
      <c r="P118" s="16" t="n">
        <v>45903</v>
      </c>
      <c r="Q118" s="16" t="n">
        <v>45929</v>
      </c>
      <c r="R118" s="16" t="n">
        <v>45942</v>
      </c>
      <c r="S118" s="16" t="n">
        <v>45956</v>
      </c>
      <c r="T118" s="4" t="n">
        <v>66</v>
      </c>
      <c r="U118" s="4" t="n">
        <v>57</v>
      </c>
      <c r="V118" s="4" t="n">
        <v>5</v>
      </c>
      <c r="W118" s="4" t="n">
        <v>26</v>
      </c>
      <c r="X118" s="4" t="n">
        <v>13</v>
      </c>
      <c r="Y118" s="4" t="n">
        <v>14</v>
      </c>
      <c r="Z118" s="4" t="n">
        <v>128</v>
      </c>
      <c r="AA118" s="4" t="n">
        <v>181</v>
      </c>
      <c r="AB118" s="4" t="n">
        <v>19</v>
      </c>
      <c r="AC118" s="4" t="n">
        <v>83</v>
      </c>
      <c r="AD118" s="14" t="n">
        <v>3819.95</v>
      </c>
      <c r="AE118" s="9" t="n">
        <v>42.3</v>
      </c>
      <c r="AF118" s="14" t="n">
        <v>8250</v>
      </c>
      <c r="AG118" s="14" t="n">
        <v>11543.77</v>
      </c>
      <c r="AH118" s="4" t="s">
        <v>141</v>
      </c>
      <c r="AI118" s="4" t="s">
        <v>142</v>
      </c>
      <c r="AJ118" s="4" t="s">
        <v>98</v>
      </c>
    </row>
    <row r="119" customFormat="false" ht="15" hidden="false" customHeight="false" outlineLevel="0" collapsed="false">
      <c r="A119" s="4" t="s">
        <v>378</v>
      </c>
      <c r="B119" s="4" t="s">
        <v>379</v>
      </c>
      <c r="C119" s="4" t="s">
        <v>80</v>
      </c>
      <c r="D119" s="4" t="s">
        <v>63</v>
      </c>
      <c r="E119" s="4" t="s">
        <v>73</v>
      </c>
      <c r="F119" s="4" t="s">
        <v>139</v>
      </c>
      <c r="G119" s="4" t="s">
        <v>140</v>
      </c>
      <c r="H119" s="14" t="n">
        <v>40833.82</v>
      </c>
      <c r="I119" s="14" t="n">
        <v>25000</v>
      </c>
      <c r="J119" s="15" t="n">
        <v>0.33</v>
      </c>
      <c r="K119" s="14" t="n">
        <v>16436.32</v>
      </c>
      <c r="L119" s="14" t="n">
        <v>8750</v>
      </c>
      <c r="M119" s="16" t="n">
        <v>45775</v>
      </c>
      <c r="N119" s="16" t="n">
        <v>46025</v>
      </c>
      <c r="O119" s="16" t="n">
        <v>46055</v>
      </c>
      <c r="P119" s="16" t="n">
        <v>46088</v>
      </c>
      <c r="Q119" s="16" t="n">
        <v>46103</v>
      </c>
      <c r="R119" s="16" t="n">
        <v>46149</v>
      </c>
      <c r="S119" s="16" t="n">
        <v>46173</v>
      </c>
      <c r="T119" s="4" t="n">
        <v>250</v>
      </c>
      <c r="U119" s="4" t="n">
        <v>30</v>
      </c>
      <c r="V119" s="4" t="n">
        <v>33</v>
      </c>
      <c r="W119" s="4" t="n">
        <v>15</v>
      </c>
      <c r="X119" s="4" t="n">
        <v>46</v>
      </c>
      <c r="Y119" s="4" t="n">
        <v>24</v>
      </c>
      <c r="Z119" s="4" t="n">
        <v>313</v>
      </c>
      <c r="AA119" s="4" t="n">
        <v>398</v>
      </c>
      <c r="AB119" s="4" t="n">
        <v>57</v>
      </c>
      <c r="AC119" s="4" t="n">
        <v>45</v>
      </c>
      <c r="AD119" s="14" t="n">
        <v>7686.32</v>
      </c>
      <c r="AE119" s="9" t="n">
        <v>46.8</v>
      </c>
      <c r="AF119" s="14" t="n">
        <v>8250</v>
      </c>
      <c r="AG119" s="14" t="n">
        <v>8000</v>
      </c>
      <c r="AH119" s="4" t="s">
        <v>142</v>
      </c>
      <c r="AI119" s="4" t="s">
        <v>142</v>
      </c>
      <c r="AJ119" s="4"/>
    </row>
    <row r="120" customFormat="false" ht="15" hidden="false" customHeight="false" outlineLevel="0" collapsed="false">
      <c r="A120" s="4" t="s">
        <v>380</v>
      </c>
      <c r="B120" s="4" t="s">
        <v>381</v>
      </c>
      <c r="C120" s="4" t="s">
        <v>80</v>
      </c>
      <c r="D120" s="4" t="s">
        <v>60</v>
      </c>
      <c r="E120" s="4" t="s">
        <v>71</v>
      </c>
      <c r="F120" s="4" t="s">
        <v>139</v>
      </c>
      <c r="G120" s="4" t="s">
        <v>140</v>
      </c>
      <c r="H120" s="14" t="n">
        <v>29426.76</v>
      </c>
      <c r="I120" s="14" t="n">
        <v>25000</v>
      </c>
      <c r="J120" s="15" t="n">
        <v>0.33</v>
      </c>
      <c r="K120" s="14" t="n">
        <v>0</v>
      </c>
      <c r="L120" s="14" t="n">
        <v>0</v>
      </c>
      <c r="M120" s="16" t="n">
        <v>45778</v>
      </c>
      <c r="N120" s="16" t="n">
        <v>45877</v>
      </c>
      <c r="O120" s="16" t="n">
        <v>45956</v>
      </c>
      <c r="P120" s="16" t="n">
        <v>45970</v>
      </c>
      <c r="Q120" s="16" t="n">
        <v>46011</v>
      </c>
      <c r="R120" s="16" t="n">
        <v>46028</v>
      </c>
      <c r="S120" s="16" t="n">
        <v>46047</v>
      </c>
      <c r="T120" s="4" t="n">
        <v>99</v>
      </c>
      <c r="U120" s="4" t="n">
        <v>79</v>
      </c>
      <c r="V120" s="4" t="n">
        <v>14</v>
      </c>
      <c r="W120" s="4" t="n">
        <v>41</v>
      </c>
      <c r="X120" s="4" t="n">
        <v>17</v>
      </c>
      <c r="Y120" s="4" t="n">
        <v>19</v>
      </c>
      <c r="Z120" s="4" t="n">
        <v>192</v>
      </c>
      <c r="AA120" s="4" t="n">
        <v>269</v>
      </c>
      <c r="AB120" s="4" t="n">
        <v>33</v>
      </c>
      <c r="AC120" s="4" t="n">
        <v>120</v>
      </c>
      <c r="AD120" s="14" t="n">
        <v>0</v>
      </c>
      <c r="AE120" s="9"/>
      <c r="AF120" s="14" t="n">
        <v>8250</v>
      </c>
      <c r="AG120" s="14" t="n">
        <v>16750</v>
      </c>
      <c r="AH120" s="4" t="s">
        <v>141</v>
      </c>
      <c r="AI120" s="4" t="s">
        <v>142</v>
      </c>
      <c r="AJ120" s="4" t="s">
        <v>98</v>
      </c>
    </row>
    <row r="121" customFormat="false" ht="15" hidden="false" customHeight="false" outlineLevel="0" collapsed="false">
      <c r="A121" s="4" t="s">
        <v>382</v>
      </c>
      <c r="B121" s="4" t="s">
        <v>383</v>
      </c>
      <c r="C121" s="4" t="s">
        <v>83</v>
      </c>
      <c r="D121" s="4" t="s">
        <v>62</v>
      </c>
      <c r="E121" s="4" t="s">
        <v>72</v>
      </c>
      <c r="F121" s="4" t="s">
        <v>139</v>
      </c>
      <c r="G121" s="4" t="s">
        <v>140</v>
      </c>
      <c r="H121" s="14" t="n">
        <v>11000.55</v>
      </c>
      <c r="I121" s="14" t="n">
        <v>16500</v>
      </c>
      <c r="J121" s="15" t="n">
        <v>0.33</v>
      </c>
      <c r="K121" s="14" t="n">
        <v>3024.16</v>
      </c>
      <c r="L121" s="14" t="n">
        <v>1887.37</v>
      </c>
      <c r="M121" s="16" t="n">
        <v>45781</v>
      </c>
      <c r="N121" s="16" t="n">
        <v>45832</v>
      </c>
      <c r="O121" s="16" t="n">
        <v>45857</v>
      </c>
      <c r="P121" s="16" t="n">
        <v>45879</v>
      </c>
      <c r="Q121" s="16" t="n">
        <v>45923</v>
      </c>
      <c r="R121" s="16" t="n">
        <v>45966</v>
      </c>
      <c r="S121" s="16" t="n">
        <v>46005</v>
      </c>
      <c r="T121" s="4" t="n">
        <v>51</v>
      </c>
      <c r="U121" s="4" t="n">
        <v>25</v>
      </c>
      <c r="V121" s="4" t="n">
        <v>22</v>
      </c>
      <c r="W121" s="4" t="n">
        <v>44</v>
      </c>
      <c r="X121" s="4" t="n">
        <v>43</v>
      </c>
      <c r="Y121" s="4" t="n">
        <v>39</v>
      </c>
      <c r="Z121" s="4" t="n">
        <v>98</v>
      </c>
      <c r="AA121" s="4" t="n">
        <v>224</v>
      </c>
      <c r="AB121" s="4" t="n">
        <v>61</v>
      </c>
      <c r="AC121" s="4" t="n">
        <v>69</v>
      </c>
      <c r="AD121" s="14" t="n">
        <v>1136.79</v>
      </c>
      <c r="AE121" s="9" t="n">
        <v>37.6</v>
      </c>
      <c r="AF121" s="14" t="n">
        <v>5445</v>
      </c>
      <c r="AG121" s="14" t="n">
        <v>9167.63</v>
      </c>
      <c r="AH121" s="4" t="s">
        <v>142</v>
      </c>
      <c r="AI121" s="4" t="s">
        <v>142</v>
      </c>
      <c r="AJ121" s="4"/>
    </row>
    <row r="122" customFormat="false" ht="15" hidden="false" customHeight="false" outlineLevel="0" collapsed="false">
      <c r="A122" s="4" t="s">
        <v>384</v>
      </c>
      <c r="B122" s="4" t="s">
        <v>385</v>
      </c>
      <c r="C122" s="4" t="s">
        <v>80</v>
      </c>
      <c r="D122" s="4" t="s">
        <v>63</v>
      </c>
      <c r="E122" s="4" t="s">
        <v>74</v>
      </c>
      <c r="F122" s="4" t="s">
        <v>139</v>
      </c>
      <c r="G122" s="4" t="s">
        <v>140</v>
      </c>
      <c r="H122" s="14" t="n">
        <v>19930.71</v>
      </c>
      <c r="I122" s="14" t="n">
        <v>50000</v>
      </c>
      <c r="J122" s="15" t="n">
        <v>0.4</v>
      </c>
      <c r="K122" s="14" t="n">
        <v>3667.54</v>
      </c>
      <c r="L122" s="14" t="n">
        <v>1952.07</v>
      </c>
      <c r="M122" s="16" t="n">
        <v>45781</v>
      </c>
      <c r="N122" s="16" t="n">
        <v>45867</v>
      </c>
      <c r="O122" s="16" t="n">
        <v>45872</v>
      </c>
      <c r="P122" s="16" t="n">
        <v>45888</v>
      </c>
      <c r="Q122" s="16" t="n">
        <v>45934</v>
      </c>
      <c r="R122" s="16" t="n">
        <v>46234</v>
      </c>
      <c r="S122" s="16" t="n">
        <v>46286</v>
      </c>
      <c r="T122" s="4" t="n">
        <v>86</v>
      </c>
      <c r="U122" s="4" t="n">
        <v>5</v>
      </c>
      <c r="V122" s="4" t="n">
        <v>16</v>
      </c>
      <c r="W122" s="4" t="n">
        <v>46</v>
      </c>
      <c r="X122" s="4" t="n">
        <v>300</v>
      </c>
      <c r="Y122" s="4" t="n">
        <v>52</v>
      </c>
      <c r="Z122" s="4" t="n">
        <v>107</v>
      </c>
      <c r="AA122" s="4" t="n">
        <v>505</v>
      </c>
      <c r="AB122" s="4" t="n">
        <v>68</v>
      </c>
      <c r="AC122" s="4" t="n">
        <v>51</v>
      </c>
      <c r="AD122" s="14" t="n">
        <v>1715.47</v>
      </c>
      <c r="AE122" s="9" t="n">
        <v>46.8</v>
      </c>
      <c r="AF122" s="14" t="n">
        <v>20000</v>
      </c>
      <c r="AG122" s="14" t="n">
        <v>28047.93</v>
      </c>
      <c r="AH122" s="4" t="s">
        <v>141</v>
      </c>
      <c r="AI122" s="4" t="s">
        <v>142</v>
      </c>
      <c r="AJ122" s="4" t="s">
        <v>94</v>
      </c>
    </row>
    <row r="123" customFormat="false" ht="15" hidden="false" customHeight="false" outlineLevel="0" collapsed="false">
      <c r="A123" s="4" t="s">
        <v>386</v>
      </c>
      <c r="B123" s="4" t="s">
        <v>387</v>
      </c>
      <c r="C123" s="4" t="s">
        <v>83</v>
      </c>
      <c r="D123" s="4" t="s">
        <v>61</v>
      </c>
      <c r="E123" s="4" t="s">
        <v>72</v>
      </c>
      <c r="F123" s="4" t="s">
        <v>139</v>
      </c>
      <c r="G123" s="4" t="s">
        <v>140</v>
      </c>
      <c r="H123" s="14" t="n">
        <v>5381.47</v>
      </c>
      <c r="I123" s="14" t="n">
        <v>8750</v>
      </c>
      <c r="J123" s="15" t="n">
        <v>0.33</v>
      </c>
      <c r="K123" s="14" t="n">
        <v>1147.46</v>
      </c>
      <c r="L123" s="14" t="n">
        <v>501.08</v>
      </c>
      <c r="M123" s="16" t="n">
        <v>45785</v>
      </c>
      <c r="N123" s="16" t="n">
        <v>45813</v>
      </c>
      <c r="O123" s="16" t="n">
        <v>45855</v>
      </c>
      <c r="P123" s="16" t="n">
        <v>45882</v>
      </c>
      <c r="Q123" s="16" t="n">
        <v>45943</v>
      </c>
      <c r="R123" s="16" t="n">
        <v>46003</v>
      </c>
      <c r="S123" s="16" t="n">
        <v>46032</v>
      </c>
      <c r="T123" s="4" t="n">
        <v>28</v>
      </c>
      <c r="U123" s="4" t="n">
        <v>42</v>
      </c>
      <c r="V123" s="4" t="n">
        <v>27</v>
      </c>
      <c r="W123" s="4" t="n">
        <v>61</v>
      </c>
      <c r="X123" s="4" t="n">
        <v>60</v>
      </c>
      <c r="Y123" s="4" t="n">
        <v>29</v>
      </c>
      <c r="Z123" s="4" t="n">
        <v>97</v>
      </c>
      <c r="AA123" s="4" t="n">
        <v>247</v>
      </c>
      <c r="AB123" s="4" t="n">
        <v>56</v>
      </c>
      <c r="AC123" s="4" t="n">
        <v>103</v>
      </c>
      <c r="AD123" s="14" t="n">
        <v>646.38</v>
      </c>
      <c r="AE123" s="9" t="n">
        <v>56.3</v>
      </c>
      <c r="AF123" s="14" t="n">
        <v>2887.5</v>
      </c>
      <c r="AG123" s="14" t="n">
        <v>5361.42</v>
      </c>
      <c r="AH123" s="4" t="s">
        <v>141</v>
      </c>
      <c r="AI123" s="4" t="s">
        <v>142</v>
      </c>
      <c r="AJ123" s="4" t="s">
        <v>94</v>
      </c>
    </row>
    <row r="124" customFormat="false" ht="15" hidden="false" customHeight="false" outlineLevel="0" collapsed="false">
      <c r="A124" s="4" t="s">
        <v>388</v>
      </c>
      <c r="B124" s="4" t="s">
        <v>389</v>
      </c>
      <c r="C124" s="4" t="s">
        <v>80</v>
      </c>
      <c r="D124" s="4" t="s">
        <v>60</v>
      </c>
      <c r="E124" s="4" t="s">
        <v>73</v>
      </c>
      <c r="F124" s="4" t="s">
        <v>139</v>
      </c>
      <c r="G124" s="4" t="s">
        <v>140</v>
      </c>
      <c r="H124" s="14" t="n">
        <v>42626.09</v>
      </c>
      <c r="I124" s="14" t="n">
        <v>76500</v>
      </c>
      <c r="J124" s="15" t="n">
        <v>0.33</v>
      </c>
      <c r="K124" s="14" t="n">
        <v>14024.41</v>
      </c>
      <c r="L124" s="14" t="n">
        <v>9706.35</v>
      </c>
      <c r="M124" s="16" t="n">
        <v>45788</v>
      </c>
      <c r="N124" s="16" t="n">
        <v>45859</v>
      </c>
      <c r="O124" s="16" t="n">
        <v>45880</v>
      </c>
      <c r="P124" s="16" t="n">
        <v>45902</v>
      </c>
      <c r="Q124" s="16" t="n">
        <v>45924</v>
      </c>
      <c r="R124" s="16" t="n">
        <v>45937</v>
      </c>
      <c r="S124" s="16" t="n">
        <v>45975</v>
      </c>
      <c r="T124" s="4" t="n">
        <v>71</v>
      </c>
      <c r="U124" s="4" t="n">
        <v>21</v>
      </c>
      <c r="V124" s="4" t="n">
        <v>22</v>
      </c>
      <c r="W124" s="4" t="n">
        <v>22</v>
      </c>
      <c r="X124" s="4" t="n">
        <v>13</v>
      </c>
      <c r="Y124" s="4" t="n">
        <v>38</v>
      </c>
      <c r="Z124" s="4" t="n">
        <v>114</v>
      </c>
      <c r="AA124" s="4" t="n">
        <v>187</v>
      </c>
      <c r="AB124" s="4" t="n">
        <v>60</v>
      </c>
      <c r="AC124" s="4" t="n">
        <v>43</v>
      </c>
      <c r="AD124" s="14" t="n">
        <v>4318.06</v>
      </c>
      <c r="AE124" s="9" t="n">
        <v>30.8</v>
      </c>
      <c r="AF124" s="14" t="n">
        <v>25245</v>
      </c>
      <c r="AG124" s="14" t="n">
        <v>41548.65</v>
      </c>
      <c r="AH124" s="4" t="s">
        <v>142</v>
      </c>
      <c r="AI124" s="4" t="s">
        <v>142</v>
      </c>
      <c r="AJ124" s="4"/>
    </row>
    <row r="125" customFormat="false" ht="15" hidden="false" customHeight="false" outlineLevel="0" collapsed="false">
      <c r="A125" s="4" t="s">
        <v>390</v>
      </c>
      <c r="B125" s="4" t="s">
        <v>391</v>
      </c>
      <c r="C125" s="4" t="s">
        <v>80</v>
      </c>
      <c r="D125" s="4" t="s">
        <v>61</v>
      </c>
      <c r="E125" s="4" t="s">
        <v>74</v>
      </c>
      <c r="F125" s="4" t="s">
        <v>139</v>
      </c>
      <c r="G125" s="4" t="s">
        <v>140</v>
      </c>
      <c r="H125" s="14" t="n">
        <v>51504.32</v>
      </c>
      <c r="I125" s="14" t="n">
        <v>100000</v>
      </c>
      <c r="J125" s="15" t="n">
        <v>0.33</v>
      </c>
      <c r="K125" s="14" t="n">
        <v>8436.72</v>
      </c>
      <c r="L125" s="14" t="n">
        <v>4865.36</v>
      </c>
      <c r="M125" s="16" t="n">
        <v>45793</v>
      </c>
      <c r="N125" s="16" t="n">
        <v>45935</v>
      </c>
      <c r="O125" s="16" t="n">
        <v>46005</v>
      </c>
      <c r="P125" s="16" t="n">
        <v>46018</v>
      </c>
      <c r="Q125" s="16" t="n">
        <v>46072</v>
      </c>
      <c r="R125" s="16" t="n">
        <v>46099</v>
      </c>
      <c r="S125" s="16" t="n">
        <v>46150</v>
      </c>
      <c r="T125" s="4" t="n">
        <v>142</v>
      </c>
      <c r="U125" s="4" t="n">
        <v>70</v>
      </c>
      <c r="V125" s="4" t="n">
        <v>13</v>
      </c>
      <c r="W125" s="4" t="n">
        <v>54</v>
      </c>
      <c r="X125" s="4" t="n">
        <v>27</v>
      </c>
      <c r="Y125" s="4" t="n">
        <v>51</v>
      </c>
      <c r="Z125" s="4" t="n">
        <v>225</v>
      </c>
      <c r="AA125" s="4" t="n">
        <v>357</v>
      </c>
      <c r="AB125" s="4" t="n">
        <v>64</v>
      </c>
      <c r="AC125" s="4" t="n">
        <v>124</v>
      </c>
      <c r="AD125" s="14" t="n">
        <v>3571.36</v>
      </c>
      <c r="AE125" s="9" t="n">
        <v>42.3</v>
      </c>
      <c r="AF125" s="14" t="n">
        <v>33000</v>
      </c>
      <c r="AG125" s="14" t="n">
        <v>62134.64</v>
      </c>
      <c r="AH125" s="4" t="s">
        <v>141</v>
      </c>
      <c r="AI125" s="4" t="s">
        <v>142</v>
      </c>
      <c r="AJ125" s="4" t="s">
        <v>101</v>
      </c>
    </row>
    <row r="126" customFormat="false" ht="15" hidden="false" customHeight="false" outlineLevel="0" collapsed="false">
      <c r="A126" s="4" t="s">
        <v>392</v>
      </c>
      <c r="B126" s="4" t="s">
        <v>393</v>
      </c>
      <c r="C126" s="4" t="s">
        <v>80</v>
      </c>
      <c r="D126" s="4" t="s">
        <v>60</v>
      </c>
      <c r="E126" s="4" t="s">
        <v>70</v>
      </c>
      <c r="F126" s="4" t="s">
        <v>139</v>
      </c>
      <c r="G126" s="4" t="s">
        <v>140</v>
      </c>
      <c r="H126" s="14" t="n">
        <v>56420.33</v>
      </c>
      <c r="I126" s="14" t="n">
        <v>25000</v>
      </c>
      <c r="J126" s="15" t="n">
        <v>0.33</v>
      </c>
      <c r="K126" s="14" t="n">
        <v>20000</v>
      </c>
      <c r="L126" s="14" t="n">
        <v>8750</v>
      </c>
      <c r="M126" s="16" t="n">
        <v>45804</v>
      </c>
      <c r="N126" s="16" t="n">
        <v>45872</v>
      </c>
      <c r="O126" s="16" t="n">
        <v>45886</v>
      </c>
      <c r="P126" s="16" t="n">
        <v>45916</v>
      </c>
      <c r="Q126" s="16" t="n">
        <v>45993</v>
      </c>
      <c r="R126" s="16" t="n">
        <v>46011</v>
      </c>
      <c r="S126" s="16" t="n">
        <v>46059</v>
      </c>
      <c r="T126" s="4" t="n">
        <v>68</v>
      </c>
      <c r="U126" s="4" t="n">
        <v>14</v>
      </c>
      <c r="V126" s="4" t="n">
        <v>30</v>
      </c>
      <c r="W126" s="4" t="n">
        <v>77</v>
      </c>
      <c r="X126" s="4" t="n">
        <v>18</v>
      </c>
      <c r="Y126" s="4" t="n">
        <v>48</v>
      </c>
      <c r="Z126" s="4" t="n">
        <v>112</v>
      </c>
      <c r="AA126" s="4" t="n">
        <v>255</v>
      </c>
      <c r="AB126" s="4" t="n">
        <v>78</v>
      </c>
      <c r="AC126" s="4" t="n">
        <v>91</v>
      </c>
      <c r="AD126" s="14" t="n">
        <v>11250</v>
      </c>
      <c r="AE126" s="9" t="n">
        <v>56.2</v>
      </c>
      <c r="AF126" s="14" t="n">
        <v>8250</v>
      </c>
      <c r="AG126" s="14" t="n">
        <v>8000</v>
      </c>
      <c r="AH126" s="4" t="s">
        <v>141</v>
      </c>
      <c r="AI126" s="4" t="s">
        <v>142</v>
      </c>
      <c r="AJ126" s="4" t="s">
        <v>94</v>
      </c>
    </row>
    <row r="127" customFormat="false" ht="15" hidden="false" customHeight="false" outlineLevel="0" collapsed="false">
      <c r="A127" s="4" t="s">
        <v>394</v>
      </c>
      <c r="B127" s="4" t="s">
        <v>395</v>
      </c>
      <c r="C127" s="4" t="s">
        <v>81</v>
      </c>
      <c r="D127" s="4" t="s">
        <v>61</v>
      </c>
      <c r="E127" s="4" t="s">
        <v>72</v>
      </c>
      <c r="F127" s="4" t="s">
        <v>139</v>
      </c>
      <c r="G127" s="4" t="s">
        <v>140</v>
      </c>
      <c r="H127" s="14" t="n">
        <v>13018.59</v>
      </c>
      <c r="I127" s="14" t="n">
        <v>37500</v>
      </c>
      <c r="J127" s="15" t="n">
        <v>0.33</v>
      </c>
      <c r="K127" s="14" t="n">
        <v>7075.34</v>
      </c>
      <c r="L127" s="14" t="n">
        <v>4157.07</v>
      </c>
      <c r="M127" s="16" t="n">
        <v>45805</v>
      </c>
      <c r="N127" s="16" t="n">
        <v>45893</v>
      </c>
      <c r="O127" s="16" t="n">
        <v>45898</v>
      </c>
      <c r="P127" s="16" t="n">
        <v>45912</v>
      </c>
      <c r="Q127" s="16" t="n">
        <v>45973</v>
      </c>
      <c r="R127" s="16" t="n">
        <v>45994</v>
      </c>
      <c r="S127" s="16" t="n">
        <v>46050</v>
      </c>
      <c r="T127" s="4" t="n">
        <v>88</v>
      </c>
      <c r="U127" s="4" t="n">
        <v>5</v>
      </c>
      <c r="V127" s="4" t="n">
        <v>14</v>
      </c>
      <c r="W127" s="4" t="n">
        <v>61</v>
      </c>
      <c r="X127" s="4" t="n">
        <v>21</v>
      </c>
      <c r="Y127" s="4" t="n">
        <v>56</v>
      </c>
      <c r="Z127" s="4" t="n">
        <v>107</v>
      </c>
      <c r="AA127" s="4" t="n">
        <v>245</v>
      </c>
      <c r="AB127" s="4" t="n">
        <v>70</v>
      </c>
      <c r="AC127" s="4" t="n">
        <v>66</v>
      </c>
      <c r="AD127" s="14" t="n">
        <v>2918.27</v>
      </c>
      <c r="AE127" s="9" t="n">
        <v>41.2</v>
      </c>
      <c r="AF127" s="14" t="n">
        <v>12375</v>
      </c>
      <c r="AG127" s="14" t="n">
        <v>20967.93</v>
      </c>
      <c r="AH127" s="4" t="s">
        <v>141</v>
      </c>
      <c r="AI127" s="4" t="s">
        <v>142</v>
      </c>
      <c r="AJ127" s="4" t="s">
        <v>94</v>
      </c>
    </row>
    <row r="128" customFormat="false" ht="15" hidden="false" customHeight="false" outlineLevel="0" collapsed="false">
      <c r="A128" s="4" t="s">
        <v>396</v>
      </c>
      <c r="B128" s="4" t="s">
        <v>397</v>
      </c>
      <c r="C128" s="4" t="s">
        <v>80</v>
      </c>
      <c r="D128" s="4" t="s">
        <v>59</v>
      </c>
      <c r="E128" s="4" t="s">
        <v>71</v>
      </c>
      <c r="F128" s="4" t="s">
        <v>139</v>
      </c>
      <c r="G128" s="4" t="s">
        <v>140</v>
      </c>
      <c r="H128" s="14" t="n">
        <v>31227.06</v>
      </c>
      <c r="I128" s="14" t="n">
        <v>75000</v>
      </c>
      <c r="J128" s="15" t="n">
        <v>0.33</v>
      </c>
      <c r="K128" s="14" t="n">
        <v>7843.3</v>
      </c>
      <c r="L128" s="14" t="n">
        <v>4812.7</v>
      </c>
      <c r="M128" s="16" t="n">
        <v>45812</v>
      </c>
      <c r="N128" s="16" t="n">
        <v>45891</v>
      </c>
      <c r="O128" s="16" t="n">
        <v>45901</v>
      </c>
      <c r="P128" s="16" t="n">
        <v>45913</v>
      </c>
      <c r="Q128" s="16" t="n">
        <v>45964</v>
      </c>
      <c r="R128" s="16" t="n">
        <v>46007</v>
      </c>
      <c r="S128" s="16" t="n">
        <v>46024</v>
      </c>
      <c r="T128" s="4" t="n">
        <v>79</v>
      </c>
      <c r="U128" s="4" t="n">
        <v>10</v>
      </c>
      <c r="V128" s="4" t="n">
        <v>12</v>
      </c>
      <c r="W128" s="4" t="n">
        <v>51</v>
      </c>
      <c r="X128" s="4" t="n">
        <v>43</v>
      </c>
      <c r="Y128" s="4" t="n">
        <v>17</v>
      </c>
      <c r="Z128" s="4" t="n">
        <v>101</v>
      </c>
      <c r="AA128" s="4" t="n">
        <v>212</v>
      </c>
      <c r="AB128" s="4" t="n">
        <v>29</v>
      </c>
      <c r="AC128" s="4" t="n">
        <v>61</v>
      </c>
      <c r="AD128" s="14" t="n">
        <v>3030.6</v>
      </c>
      <c r="AE128" s="9" t="n">
        <v>38.6</v>
      </c>
      <c r="AF128" s="14" t="n">
        <v>24750</v>
      </c>
      <c r="AG128" s="14" t="n">
        <v>45437.3</v>
      </c>
      <c r="AH128" s="4" t="s">
        <v>141</v>
      </c>
      <c r="AI128" s="4" t="s">
        <v>142</v>
      </c>
      <c r="AJ128" s="4" t="s">
        <v>94</v>
      </c>
    </row>
    <row r="129" customFormat="false" ht="15" hidden="false" customHeight="false" outlineLevel="0" collapsed="false">
      <c r="A129" s="4" t="s">
        <v>398</v>
      </c>
      <c r="B129" s="4" t="s">
        <v>399</v>
      </c>
      <c r="C129" s="4" t="s">
        <v>83</v>
      </c>
      <c r="D129" s="4" t="s">
        <v>59</v>
      </c>
      <c r="E129" s="4" t="s">
        <v>74</v>
      </c>
      <c r="F129" s="4" t="s">
        <v>139</v>
      </c>
      <c r="G129" s="4" t="s">
        <v>140</v>
      </c>
      <c r="H129" s="14" t="n">
        <v>7707.24</v>
      </c>
      <c r="I129" s="14" t="n">
        <v>12500</v>
      </c>
      <c r="J129" s="15" t="n">
        <v>0.33</v>
      </c>
      <c r="K129" s="14" t="n">
        <v>3640.02</v>
      </c>
      <c r="L129" s="14" t="n">
        <v>2759.43</v>
      </c>
      <c r="M129" s="16" t="n">
        <v>45815</v>
      </c>
      <c r="N129" s="16" t="n">
        <v>45868</v>
      </c>
      <c r="O129" s="16" t="n">
        <v>45890</v>
      </c>
      <c r="P129" s="16" t="n">
        <v>45909</v>
      </c>
      <c r="Q129" s="16" t="n">
        <v>45931</v>
      </c>
      <c r="R129" s="16" t="n">
        <v>45953</v>
      </c>
      <c r="S129" s="16" t="n">
        <v>45991</v>
      </c>
      <c r="T129" s="4" t="n">
        <v>53</v>
      </c>
      <c r="U129" s="4" t="n">
        <v>22</v>
      </c>
      <c r="V129" s="4" t="n">
        <v>19</v>
      </c>
      <c r="W129" s="4" t="n">
        <v>22</v>
      </c>
      <c r="X129" s="4" t="n">
        <v>22</v>
      </c>
      <c r="Y129" s="4" t="n">
        <v>38</v>
      </c>
      <c r="Z129" s="4" t="n">
        <v>94</v>
      </c>
      <c r="AA129" s="4" t="n">
        <v>176</v>
      </c>
      <c r="AB129" s="4" t="n">
        <v>57</v>
      </c>
      <c r="AC129" s="4" t="n">
        <v>44</v>
      </c>
      <c r="AD129" s="14" t="n">
        <v>880.59</v>
      </c>
      <c r="AE129" s="9" t="n">
        <v>24.2</v>
      </c>
      <c r="AF129" s="14" t="n">
        <v>4125</v>
      </c>
      <c r="AG129" s="14" t="n">
        <v>5615.57</v>
      </c>
      <c r="AH129" s="4" t="s">
        <v>142</v>
      </c>
      <c r="AI129" s="4" t="s">
        <v>142</v>
      </c>
      <c r="AJ129" s="4"/>
    </row>
    <row r="130" customFormat="false" ht="15" hidden="false" customHeight="false" outlineLevel="0" collapsed="false">
      <c r="A130" s="4" t="s">
        <v>400</v>
      </c>
      <c r="B130" s="4" t="s">
        <v>401</v>
      </c>
      <c r="C130" s="4" t="s">
        <v>80</v>
      </c>
      <c r="D130" s="4" t="s">
        <v>61</v>
      </c>
      <c r="E130" s="4" t="s">
        <v>72</v>
      </c>
      <c r="F130" s="4" t="s">
        <v>139</v>
      </c>
      <c r="G130" s="4" t="s">
        <v>140</v>
      </c>
      <c r="H130" s="14" t="n">
        <v>72252.79</v>
      </c>
      <c r="I130" s="14" t="n">
        <v>50000</v>
      </c>
      <c r="J130" s="15" t="n">
        <v>0.4</v>
      </c>
      <c r="K130" s="14" t="n">
        <v>40000</v>
      </c>
      <c r="L130" s="14" t="n">
        <v>17500</v>
      </c>
      <c r="M130" s="16" t="n">
        <v>45819</v>
      </c>
      <c r="N130" s="16" t="n">
        <v>45881</v>
      </c>
      <c r="O130" s="16" t="n">
        <v>45900</v>
      </c>
      <c r="P130" s="16" t="n">
        <v>45910</v>
      </c>
      <c r="Q130" s="16" t="n">
        <v>45936</v>
      </c>
      <c r="R130" s="16" t="n">
        <v>46212</v>
      </c>
      <c r="S130" s="16" t="n">
        <v>46252</v>
      </c>
      <c r="T130" s="4" t="n">
        <v>62</v>
      </c>
      <c r="U130" s="4" t="n">
        <v>19</v>
      </c>
      <c r="V130" s="4" t="n">
        <v>10</v>
      </c>
      <c r="W130" s="4" t="n">
        <v>26</v>
      </c>
      <c r="X130" s="4" t="n">
        <v>276</v>
      </c>
      <c r="Y130" s="4" t="n">
        <v>40</v>
      </c>
      <c r="Z130" s="4" t="n">
        <v>91</v>
      </c>
      <c r="AA130" s="4" t="n">
        <v>433</v>
      </c>
      <c r="AB130" s="4" t="n">
        <v>50</v>
      </c>
      <c r="AC130" s="4" t="n">
        <v>45</v>
      </c>
      <c r="AD130" s="14" t="n">
        <v>22500</v>
      </c>
      <c r="AE130" s="9" t="n">
        <v>56.2</v>
      </c>
      <c r="AF130" s="14" t="n">
        <v>20000</v>
      </c>
      <c r="AG130" s="14" t="n">
        <v>12500</v>
      </c>
      <c r="AH130" s="4" t="s">
        <v>142</v>
      </c>
      <c r="AI130" s="4" t="s">
        <v>142</v>
      </c>
      <c r="AJ130" s="4"/>
    </row>
    <row r="131" customFormat="false" ht="15" hidden="false" customHeight="false" outlineLevel="0" collapsed="false">
      <c r="A131" s="4" t="s">
        <v>402</v>
      </c>
      <c r="B131" s="4" t="s">
        <v>403</v>
      </c>
      <c r="C131" s="4" t="s">
        <v>80</v>
      </c>
      <c r="D131" s="4" t="s">
        <v>60</v>
      </c>
      <c r="E131" s="4" t="s">
        <v>74</v>
      </c>
      <c r="F131" s="4" t="s">
        <v>139</v>
      </c>
      <c r="G131" s="4" t="s">
        <v>140</v>
      </c>
      <c r="H131" s="14" t="n">
        <v>12838.47</v>
      </c>
      <c r="I131" s="14" t="n">
        <v>22250</v>
      </c>
      <c r="J131" s="15" t="n">
        <v>0.33</v>
      </c>
      <c r="K131" s="14" t="n">
        <v>7444.72</v>
      </c>
      <c r="L131" s="14" t="n">
        <v>2157.43</v>
      </c>
      <c r="M131" s="16" t="n">
        <v>45819</v>
      </c>
      <c r="N131" s="16" t="n">
        <v>45849</v>
      </c>
      <c r="O131" s="16" t="n">
        <v>45895</v>
      </c>
      <c r="P131" s="16" t="n">
        <v>45916</v>
      </c>
      <c r="Q131" s="16" t="n">
        <v>46003</v>
      </c>
      <c r="R131" s="16" t="n">
        <v>46012</v>
      </c>
      <c r="S131" s="16" t="n">
        <v>46050</v>
      </c>
      <c r="T131" s="4" t="n">
        <v>30</v>
      </c>
      <c r="U131" s="4" t="n">
        <v>46</v>
      </c>
      <c r="V131" s="4" t="n">
        <v>21</v>
      </c>
      <c r="W131" s="4" t="n">
        <v>87</v>
      </c>
      <c r="X131" s="4" t="n">
        <v>9</v>
      </c>
      <c r="Y131" s="4" t="n">
        <v>38</v>
      </c>
      <c r="Z131" s="4" t="n">
        <v>97</v>
      </c>
      <c r="AA131" s="4" t="n">
        <v>231</v>
      </c>
      <c r="AB131" s="4" t="n">
        <v>59</v>
      </c>
      <c r="AC131" s="4" t="n">
        <v>133</v>
      </c>
      <c r="AD131" s="14" t="n">
        <v>5287.29</v>
      </c>
      <c r="AE131" s="9" t="n">
        <v>71</v>
      </c>
      <c r="AF131" s="14" t="n">
        <v>7342.5</v>
      </c>
      <c r="AG131" s="14" t="n">
        <v>12750.07</v>
      </c>
      <c r="AH131" s="4" t="s">
        <v>141</v>
      </c>
      <c r="AI131" s="4" t="s">
        <v>142</v>
      </c>
      <c r="AJ131" s="4" t="s">
        <v>101</v>
      </c>
    </row>
    <row r="132" customFormat="false" ht="15" hidden="false" customHeight="false" outlineLevel="0" collapsed="false">
      <c r="A132" s="4" t="s">
        <v>404</v>
      </c>
      <c r="B132" s="4" t="s">
        <v>405</v>
      </c>
      <c r="C132" s="4" t="s">
        <v>80</v>
      </c>
      <c r="D132" s="4" t="s">
        <v>63</v>
      </c>
      <c r="E132" s="4" t="s">
        <v>72</v>
      </c>
      <c r="F132" s="4" t="s">
        <v>139</v>
      </c>
      <c r="G132" s="4" t="s">
        <v>140</v>
      </c>
      <c r="H132" s="14" t="n">
        <v>46356.67</v>
      </c>
      <c r="I132" s="14" t="n">
        <v>15000</v>
      </c>
      <c r="J132" s="15" t="n">
        <v>0.33</v>
      </c>
      <c r="K132" s="14" t="n">
        <v>12000</v>
      </c>
      <c r="L132" s="14" t="n">
        <v>5250</v>
      </c>
      <c r="M132" s="16" t="n">
        <v>45822</v>
      </c>
      <c r="N132" s="16" t="n">
        <v>45876</v>
      </c>
      <c r="O132" s="16" t="n">
        <v>45893</v>
      </c>
      <c r="P132" s="16" t="n">
        <v>45920</v>
      </c>
      <c r="Q132" s="16" t="n">
        <v>45938</v>
      </c>
      <c r="R132" s="16" t="n">
        <v>45960</v>
      </c>
      <c r="S132" s="16" t="n">
        <v>45982</v>
      </c>
      <c r="T132" s="4" t="n">
        <v>54</v>
      </c>
      <c r="U132" s="4" t="n">
        <v>17</v>
      </c>
      <c r="V132" s="4" t="n">
        <v>27</v>
      </c>
      <c r="W132" s="4" t="n">
        <v>18</v>
      </c>
      <c r="X132" s="4" t="n">
        <v>22</v>
      </c>
      <c r="Y132" s="4" t="n">
        <v>22</v>
      </c>
      <c r="Z132" s="4" t="n">
        <v>98</v>
      </c>
      <c r="AA132" s="4" t="n">
        <v>160</v>
      </c>
      <c r="AB132" s="4" t="n">
        <v>49</v>
      </c>
      <c r="AC132" s="4" t="n">
        <v>35</v>
      </c>
      <c r="AD132" s="14" t="n">
        <v>6750</v>
      </c>
      <c r="AE132" s="9" t="n">
        <v>56.2</v>
      </c>
      <c r="AF132" s="14" t="n">
        <v>4950</v>
      </c>
      <c r="AG132" s="14" t="n">
        <v>4800</v>
      </c>
      <c r="AH132" s="4" t="s">
        <v>142</v>
      </c>
      <c r="AI132" s="4" t="s">
        <v>142</v>
      </c>
      <c r="AJ132" s="4"/>
    </row>
    <row r="133" customFormat="false" ht="15" hidden="false" customHeight="false" outlineLevel="0" collapsed="false">
      <c r="A133" s="4" t="s">
        <v>406</v>
      </c>
      <c r="B133" s="4" t="s">
        <v>407</v>
      </c>
      <c r="C133" s="4" t="s">
        <v>82</v>
      </c>
      <c r="D133" s="4" t="s">
        <v>63</v>
      </c>
      <c r="E133" s="4" t="s">
        <v>71</v>
      </c>
      <c r="F133" s="4" t="s">
        <v>139</v>
      </c>
      <c r="G133" s="4" t="s">
        <v>140</v>
      </c>
      <c r="H133" s="14" t="n">
        <v>85900.74</v>
      </c>
      <c r="I133" s="14" t="n">
        <v>15000</v>
      </c>
      <c r="J133" s="15" t="n">
        <v>0.33</v>
      </c>
      <c r="K133" s="14" t="n">
        <v>12000</v>
      </c>
      <c r="L133" s="14" t="n">
        <v>5250</v>
      </c>
      <c r="M133" s="16" t="n">
        <v>45822</v>
      </c>
      <c r="N133" s="16" t="n">
        <v>45930</v>
      </c>
      <c r="O133" s="16" t="n">
        <v>45956</v>
      </c>
      <c r="P133" s="16" t="n">
        <v>45968</v>
      </c>
      <c r="Q133" s="16" t="n">
        <v>46050</v>
      </c>
      <c r="R133" s="16" t="n">
        <v>46095</v>
      </c>
      <c r="S133" s="16" t="n">
        <v>46128</v>
      </c>
      <c r="T133" s="4" t="n">
        <v>108</v>
      </c>
      <c r="U133" s="4" t="n">
        <v>26</v>
      </c>
      <c r="V133" s="4" t="n">
        <v>12</v>
      </c>
      <c r="W133" s="4" t="n">
        <v>82</v>
      </c>
      <c r="X133" s="4" t="n">
        <v>45</v>
      </c>
      <c r="Y133" s="4" t="n">
        <v>33</v>
      </c>
      <c r="Z133" s="4" t="n">
        <v>146</v>
      </c>
      <c r="AA133" s="4" t="n">
        <v>306</v>
      </c>
      <c r="AB133" s="4" t="n">
        <v>45</v>
      </c>
      <c r="AC133" s="4" t="n">
        <v>108</v>
      </c>
      <c r="AD133" s="14" t="n">
        <v>6750</v>
      </c>
      <c r="AE133" s="9" t="n">
        <v>56.2</v>
      </c>
      <c r="AF133" s="14" t="n">
        <v>4950</v>
      </c>
      <c r="AG133" s="14" t="n">
        <v>4800</v>
      </c>
      <c r="AH133" s="4" t="s">
        <v>141</v>
      </c>
      <c r="AI133" s="4" t="s">
        <v>142</v>
      </c>
      <c r="AJ133" s="4" t="s">
        <v>94</v>
      </c>
    </row>
    <row r="134" customFormat="false" ht="15" hidden="false" customHeight="false" outlineLevel="0" collapsed="false">
      <c r="A134" s="4" t="s">
        <v>408</v>
      </c>
      <c r="B134" s="4" t="s">
        <v>409</v>
      </c>
      <c r="C134" s="4" t="s">
        <v>81</v>
      </c>
      <c r="D134" s="4" t="s">
        <v>61</v>
      </c>
      <c r="E134" s="4" t="s">
        <v>72</v>
      </c>
      <c r="F134" s="4" t="s">
        <v>139</v>
      </c>
      <c r="G134" s="4" t="s">
        <v>140</v>
      </c>
      <c r="H134" s="14" t="n">
        <v>69616.75</v>
      </c>
      <c r="I134" s="14" t="n">
        <v>88750</v>
      </c>
      <c r="J134" s="15" t="n">
        <v>0.33</v>
      </c>
      <c r="K134" s="14" t="n">
        <v>21778.16</v>
      </c>
      <c r="L134" s="14" t="n">
        <v>20687.92</v>
      </c>
      <c r="M134" s="16" t="n">
        <v>45824</v>
      </c>
      <c r="N134" s="16" t="n">
        <v>45863</v>
      </c>
      <c r="O134" s="16" t="n">
        <v>45885</v>
      </c>
      <c r="P134" s="16" t="n">
        <v>45900</v>
      </c>
      <c r="Q134" s="16" t="n">
        <v>45965</v>
      </c>
      <c r="R134" s="16" t="n">
        <v>45975</v>
      </c>
      <c r="S134" s="16" t="n">
        <v>46004</v>
      </c>
      <c r="T134" s="4" t="n">
        <v>39</v>
      </c>
      <c r="U134" s="4" t="n">
        <v>22</v>
      </c>
      <c r="V134" s="4" t="n">
        <v>15</v>
      </c>
      <c r="W134" s="4" t="n">
        <v>65</v>
      </c>
      <c r="X134" s="4" t="n">
        <v>10</v>
      </c>
      <c r="Y134" s="4" t="n">
        <v>29</v>
      </c>
      <c r="Z134" s="4" t="n">
        <v>76</v>
      </c>
      <c r="AA134" s="4" t="n">
        <v>180</v>
      </c>
      <c r="AB134" s="4" t="n">
        <v>44</v>
      </c>
      <c r="AC134" s="4" t="n">
        <v>87</v>
      </c>
      <c r="AD134" s="14" t="n">
        <v>1090.24</v>
      </c>
      <c r="AE134" s="9" t="n">
        <v>5</v>
      </c>
      <c r="AF134" s="14" t="n">
        <v>29287.5</v>
      </c>
      <c r="AG134" s="14" t="n">
        <v>38774.58</v>
      </c>
      <c r="AH134" s="4" t="s">
        <v>141</v>
      </c>
      <c r="AI134" s="4" t="s">
        <v>142</v>
      </c>
      <c r="AJ134" s="4" t="s">
        <v>94</v>
      </c>
    </row>
    <row r="135" customFormat="false" ht="15" hidden="false" customHeight="false" outlineLevel="0" collapsed="false">
      <c r="A135" s="4" t="s">
        <v>410</v>
      </c>
      <c r="B135" s="4" t="s">
        <v>411</v>
      </c>
      <c r="C135" s="4" t="s">
        <v>80</v>
      </c>
      <c r="D135" s="4" t="s">
        <v>63</v>
      </c>
      <c r="E135" s="4" t="s">
        <v>72</v>
      </c>
      <c r="F135" s="4" t="s">
        <v>139</v>
      </c>
      <c r="G135" s="4" t="s">
        <v>140</v>
      </c>
      <c r="H135" s="14" t="n">
        <v>2537.42</v>
      </c>
      <c r="I135" s="14" t="n">
        <v>7250</v>
      </c>
      <c r="J135" s="15" t="n">
        <v>0.33</v>
      </c>
      <c r="K135" s="14" t="n">
        <v>676.54</v>
      </c>
      <c r="L135" s="14" t="n">
        <v>298.94</v>
      </c>
      <c r="M135" s="16" t="n">
        <v>45825</v>
      </c>
      <c r="N135" s="16" t="n">
        <v>45957</v>
      </c>
      <c r="O135" s="16" t="n">
        <v>45976</v>
      </c>
      <c r="P135" s="16" t="n">
        <v>45990</v>
      </c>
      <c r="Q135" s="16" t="n">
        <v>46060</v>
      </c>
      <c r="R135" s="16" t="n">
        <v>46069</v>
      </c>
      <c r="S135" s="16" t="n">
        <v>46083</v>
      </c>
      <c r="T135" s="4" t="n">
        <v>132</v>
      </c>
      <c r="U135" s="4" t="n">
        <v>19</v>
      </c>
      <c r="V135" s="4" t="n">
        <v>14</v>
      </c>
      <c r="W135" s="4" t="n">
        <v>70</v>
      </c>
      <c r="X135" s="4" t="n">
        <v>9</v>
      </c>
      <c r="Y135" s="4" t="n">
        <v>14</v>
      </c>
      <c r="Z135" s="4" t="n">
        <v>165</v>
      </c>
      <c r="AA135" s="4" t="n">
        <v>258</v>
      </c>
      <c r="AB135" s="4" t="n">
        <v>28</v>
      </c>
      <c r="AC135" s="4" t="n">
        <v>89</v>
      </c>
      <c r="AD135" s="14" t="n">
        <v>377.6</v>
      </c>
      <c r="AE135" s="9" t="n">
        <v>55.8</v>
      </c>
      <c r="AF135" s="14" t="n">
        <v>2392.5</v>
      </c>
      <c r="AG135" s="14" t="n">
        <v>4558.56</v>
      </c>
      <c r="AH135" s="4" t="s">
        <v>141</v>
      </c>
      <c r="AI135" s="4" t="s">
        <v>142</v>
      </c>
      <c r="AJ135" s="4" t="s">
        <v>94</v>
      </c>
    </row>
    <row r="136" customFormat="false" ht="15" hidden="false" customHeight="false" outlineLevel="0" collapsed="false">
      <c r="A136" s="4" t="s">
        <v>412</v>
      </c>
      <c r="B136" s="4" t="s">
        <v>413</v>
      </c>
      <c r="C136" s="4" t="s">
        <v>80</v>
      </c>
      <c r="D136" s="4" t="s">
        <v>59</v>
      </c>
      <c r="E136" s="4" t="s">
        <v>71</v>
      </c>
      <c r="F136" s="4" t="s">
        <v>139</v>
      </c>
      <c r="G136" s="4" t="s">
        <v>140</v>
      </c>
      <c r="H136" s="14" t="n">
        <v>47426.62</v>
      </c>
      <c r="I136" s="14" t="n">
        <v>100000</v>
      </c>
      <c r="J136" s="15" t="n">
        <v>0.33</v>
      </c>
      <c r="K136" s="14" t="n">
        <v>0</v>
      </c>
      <c r="L136" s="14" t="n">
        <v>0</v>
      </c>
      <c r="M136" s="16" t="n">
        <v>45828</v>
      </c>
      <c r="N136" s="16" t="n">
        <v>46002</v>
      </c>
      <c r="O136" s="16" t="n">
        <v>46025</v>
      </c>
      <c r="P136" s="16" t="n">
        <v>46032</v>
      </c>
      <c r="Q136" s="16" t="n">
        <v>46132</v>
      </c>
      <c r="R136" s="16" t="n">
        <v>46151</v>
      </c>
      <c r="S136" s="16" t="n">
        <v>46183</v>
      </c>
      <c r="T136" s="4" t="n">
        <v>174</v>
      </c>
      <c r="U136" s="4" t="n">
        <v>23</v>
      </c>
      <c r="V136" s="4" t="n">
        <v>7</v>
      </c>
      <c r="W136" s="4" t="n">
        <v>100</v>
      </c>
      <c r="X136" s="4" t="n">
        <v>19</v>
      </c>
      <c r="Y136" s="4" t="n">
        <v>32</v>
      </c>
      <c r="Z136" s="4" t="n">
        <v>204</v>
      </c>
      <c r="AA136" s="4" t="n">
        <v>355</v>
      </c>
      <c r="AB136" s="4" t="n">
        <v>39</v>
      </c>
      <c r="AC136" s="4" t="n">
        <v>123</v>
      </c>
      <c r="AD136" s="14" t="n">
        <v>0</v>
      </c>
      <c r="AE136" s="9"/>
      <c r="AF136" s="14" t="n">
        <v>33000</v>
      </c>
      <c r="AG136" s="14" t="n">
        <v>67000</v>
      </c>
      <c r="AH136" s="4" t="s">
        <v>141</v>
      </c>
      <c r="AI136" s="4" t="s">
        <v>142</v>
      </c>
      <c r="AJ136" s="4" t="s">
        <v>94</v>
      </c>
    </row>
    <row r="137" customFormat="false" ht="15" hidden="false" customHeight="false" outlineLevel="0" collapsed="false">
      <c r="A137" s="4" t="s">
        <v>414</v>
      </c>
      <c r="B137" s="4" t="s">
        <v>415</v>
      </c>
      <c r="C137" s="4" t="s">
        <v>80</v>
      </c>
      <c r="D137" s="4" t="s">
        <v>59</v>
      </c>
      <c r="E137" s="4" t="s">
        <v>71</v>
      </c>
      <c r="F137" s="4" t="s">
        <v>289</v>
      </c>
      <c r="G137" s="4" t="s">
        <v>290</v>
      </c>
      <c r="H137" s="14" t="n">
        <v>19724.66</v>
      </c>
      <c r="I137" s="14"/>
      <c r="J137" s="15" t="n">
        <v>0.4</v>
      </c>
      <c r="K137" s="14" t="n">
        <v>3388.49</v>
      </c>
      <c r="L137" s="14"/>
      <c r="M137" s="16" t="n">
        <v>45830</v>
      </c>
      <c r="N137" s="16" t="n">
        <v>46117</v>
      </c>
      <c r="O137" s="16" t="n">
        <v>46140</v>
      </c>
      <c r="P137" s="16" t="n">
        <v>46171</v>
      </c>
      <c r="Q137" s="16" t="n">
        <v>46214</v>
      </c>
      <c r="R137" s="4"/>
      <c r="S137" s="4"/>
      <c r="T137" s="4" t="n">
        <v>287</v>
      </c>
      <c r="U137" s="4" t="n">
        <v>23</v>
      </c>
      <c r="V137" s="4" t="n">
        <v>31</v>
      </c>
      <c r="W137" s="4" t="n">
        <v>43</v>
      </c>
      <c r="X137" s="4"/>
      <c r="Y137" s="4"/>
      <c r="Z137" s="4" t="n">
        <v>341</v>
      </c>
      <c r="AA137" s="4"/>
      <c r="AB137" s="4"/>
      <c r="AC137" s="4" t="n">
        <v>66</v>
      </c>
      <c r="AD137" s="14"/>
      <c r="AE137" s="9"/>
      <c r="AF137" s="14"/>
      <c r="AG137" s="14"/>
      <c r="AH137" s="4" t="s">
        <v>142</v>
      </c>
      <c r="AI137" s="4" t="s">
        <v>142</v>
      </c>
      <c r="AJ137" s="4"/>
    </row>
    <row r="138" customFormat="false" ht="15" hidden="false" customHeight="false" outlineLevel="0" collapsed="false">
      <c r="A138" s="4" t="s">
        <v>416</v>
      </c>
      <c r="B138" s="4" t="s">
        <v>417</v>
      </c>
      <c r="C138" s="4" t="s">
        <v>81</v>
      </c>
      <c r="D138" s="4" t="s">
        <v>62</v>
      </c>
      <c r="E138" s="4" t="s">
        <v>74</v>
      </c>
      <c r="F138" s="4" t="s">
        <v>139</v>
      </c>
      <c r="G138" s="4" t="s">
        <v>140</v>
      </c>
      <c r="H138" s="14" t="n">
        <v>29851.34</v>
      </c>
      <c r="I138" s="14" t="n">
        <v>42000</v>
      </c>
      <c r="J138" s="15" t="n">
        <v>0.33</v>
      </c>
      <c r="K138" s="14" t="n">
        <v>9903.7</v>
      </c>
      <c r="L138" s="14" t="n">
        <v>4101.03</v>
      </c>
      <c r="M138" s="16" t="n">
        <v>45834</v>
      </c>
      <c r="N138" s="16" t="n">
        <v>45986</v>
      </c>
      <c r="O138" s="16" t="n">
        <v>46026</v>
      </c>
      <c r="P138" s="16" t="n">
        <v>46036</v>
      </c>
      <c r="Q138" s="16" t="n">
        <v>46101</v>
      </c>
      <c r="R138" s="16" t="n">
        <v>46140</v>
      </c>
      <c r="S138" s="16" t="n">
        <v>46207</v>
      </c>
      <c r="T138" s="4" t="n">
        <v>152</v>
      </c>
      <c r="U138" s="4" t="n">
        <v>40</v>
      </c>
      <c r="V138" s="4" t="n">
        <v>10</v>
      </c>
      <c r="W138" s="4" t="n">
        <v>65</v>
      </c>
      <c r="X138" s="4" t="n">
        <v>39</v>
      </c>
      <c r="Y138" s="4" t="n">
        <v>67</v>
      </c>
      <c r="Z138" s="4" t="n">
        <v>202</v>
      </c>
      <c r="AA138" s="4" t="n">
        <v>373</v>
      </c>
      <c r="AB138" s="4" t="n">
        <v>77</v>
      </c>
      <c r="AC138" s="4" t="n">
        <v>105</v>
      </c>
      <c r="AD138" s="14" t="n">
        <v>5802.67</v>
      </c>
      <c r="AE138" s="9" t="n">
        <v>58.6</v>
      </c>
      <c r="AF138" s="14" t="n">
        <v>13860</v>
      </c>
      <c r="AG138" s="14" t="n">
        <v>24038.97</v>
      </c>
      <c r="AH138" s="4" t="s">
        <v>141</v>
      </c>
      <c r="AI138" s="4" t="s">
        <v>142</v>
      </c>
      <c r="AJ138" s="4" t="s">
        <v>94</v>
      </c>
    </row>
    <row r="139" customFormat="false" ht="15" hidden="false" customHeight="false" outlineLevel="0" collapsed="false">
      <c r="A139" s="4" t="s">
        <v>418</v>
      </c>
      <c r="B139" s="4" t="s">
        <v>419</v>
      </c>
      <c r="C139" s="4" t="s">
        <v>81</v>
      </c>
      <c r="D139" s="4" t="s">
        <v>59</v>
      </c>
      <c r="E139" s="4" t="s">
        <v>72</v>
      </c>
      <c r="F139" s="4" t="s">
        <v>139</v>
      </c>
      <c r="G139" s="4" t="s">
        <v>140</v>
      </c>
      <c r="H139" s="14" t="n">
        <v>9258.37</v>
      </c>
      <c r="I139" s="14" t="n">
        <v>27750</v>
      </c>
      <c r="J139" s="15" t="n">
        <v>0.33</v>
      </c>
      <c r="K139" s="14" t="n">
        <v>2388.9</v>
      </c>
      <c r="L139" s="14" t="n">
        <v>863.3</v>
      </c>
      <c r="M139" s="16" t="n">
        <v>45839</v>
      </c>
      <c r="N139" s="16" t="n">
        <v>45902</v>
      </c>
      <c r="O139" s="16" t="n">
        <v>45921</v>
      </c>
      <c r="P139" s="16" t="n">
        <v>45929</v>
      </c>
      <c r="Q139" s="16" t="n">
        <v>46027</v>
      </c>
      <c r="R139" s="16" t="n">
        <v>46147</v>
      </c>
      <c r="S139" s="16" t="n">
        <v>46166</v>
      </c>
      <c r="T139" s="4" t="n">
        <v>63</v>
      </c>
      <c r="U139" s="4" t="n">
        <v>19</v>
      </c>
      <c r="V139" s="4" t="n">
        <v>8</v>
      </c>
      <c r="W139" s="4" t="n">
        <v>98</v>
      </c>
      <c r="X139" s="4" t="n">
        <v>120</v>
      </c>
      <c r="Y139" s="4" t="n">
        <v>19</v>
      </c>
      <c r="Z139" s="4" t="n">
        <v>90</v>
      </c>
      <c r="AA139" s="4" t="n">
        <v>327</v>
      </c>
      <c r="AB139" s="4" t="n">
        <v>27</v>
      </c>
      <c r="AC139" s="4" t="n">
        <v>117</v>
      </c>
      <c r="AD139" s="14" t="n">
        <v>1525.6</v>
      </c>
      <c r="AE139" s="9" t="n">
        <v>63.9</v>
      </c>
      <c r="AF139" s="14" t="n">
        <v>9157.5</v>
      </c>
      <c r="AG139" s="14" t="n">
        <v>17729.2</v>
      </c>
      <c r="AH139" s="4" t="s">
        <v>141</v>
      </c>
      <c r="AI139" s="4" t="s">
        <v>142</v>
      </c>
      <c r="AJ139" s="4" t="s">
        <v>94</v>
      </c>
    </row>
    <row r="140" customFormat="false" ht="15" hidden="false" customHeight="false" outlineLevel="0" collapsed="false">
      <c r="A140" s="4" t="s">
        <v>420</v>
      </c>
      <c r="B140" s="4" t="s">
        <v>421</v>
      </c>
      <c r="C140" s="4" t="s">
        <v>80</v>
      </c>
      <c r="D140" s="4" t="s">
        <v>60</v>
      </c>
      <c r="E140" s="4" t="s">
        <v>71</v>
      </c>
      <c r="F140" s="4" t="s">
        <v>289</v>
      </c>
      <c r="G140" s="4" t="s">
        <v>97</v>
      </c>
      <c r="H140" s="14"/>
      <c r="I140" s="14"/>
      <c r="J140" s="15" t="n">
        <v>0.33</v>
      </c>
      <c r="K140" s="14"/>
      <c r="L140" s="14"/>
      <c r="M140" s="16" t="n">
        <v>45841</v>
      </c>
      <c r="N140" s="16" t="n">
        <v>46288</v>
      </c>
      <c r="O140" s="4"/>
      <c r="P140" s="4"/>
      <c r="Q140" s="4"/>
      <c r="R140" s="4"/>
      <c r="S140" s="4"/>
      <c r="T140" s="4" t="n">
        <v>447</v>
      </c>
      <c r="U140" s="4"/>
      <c r="V140" s="4"/>
      <c r="W140" s="4"/>
      <c r="X140" s="4"/>
      <c r="Y140" s="4"/>
      <c r="Z140" s="4"/>
      <c r="AA140" s="4"/>
      <c r="AB140" s="4"/>
      <c r="AC140" s="4"/>
      <c r="AD140" s="14"/>
      <c r="AE140" s="9"/>
      <c r="AF140" s="14"/>
      <c r="AG140" s="14"/>
      <c r="AH140" s="4" t="s">
        <v>142</v>
      </c>
      <c r="AI140" s="4" t="s">
        <v>142</v>
      </c>
      <c r="AJ140" s="4"/>
    </row>
    <row r="141" customFormat="false" ht="15" hidden="false" customHeight="false" outlineLevel="0" collapsed="false">
      <c r="A141" s="4" t="s">
        <v>422</v>
      </c>
      <c r="B141" s="4" t="s">
        <v>423</v>
      </c>
      <c r="C141" s="4" t="s">
        <v>82</v>
      </c>
      <c r="D141" s="4" t="s">
        <v>59</v>
      </c>
      <c r="E141" s="4" t="s">
        <v>70</v>
      </c>
      <c r="F141" s="4" t="s">
        <v>139</v>
      </c>
      <c r="G141" s="4" t="s">
        <v>140</v>
      </c>
      <c r="H141" s="14" t="n">
        <v>48329.93</v>
      </c>
      <c r="I141" s="14" t="n">
        <v>71500</v>
      </c>
      <c r="J141" s="15" t="n">
        <v>0.33</v>
      </c>
      <c r="K141" s="14" t="n">
        <v>23512.21</v>
      </c>
      <c r="L141" s="14" t="n">
        <v>11236.14</v>
      </c>
      <c r="M141" s="16" t="n">
        <v>45842</v>
      </c>
      <c r="N141" s="16" t="n">
        <v>45921</v>
      </c>
      <c r="O141" s="16" t="n">
        <v>45946</v>
      </c>
      <c r="P141" s="16" t="n">
        <v>45952</v>
      </c>
      <c r="Q141" s="16" t="n">
        <v>46042</v>
      </c>
      <c r="R141" s="16" t="n">
        <v>46050</v>
      </c>
      <c r="S141" s="16" t="n">
        <v>46091</v>
      </c>
      <c r="T141" s="4" t="n">
        <v>79</v>
      </c>
      <c r="U141" s="4" t="n">
        <v>25</v>
      </c>
      <c r="V141" s="4" t="n">
        <v>6</v>
      </c>
      <c r="W141" s="4" t="n">
        <v>90</v>
      </c>
      <c r="X141" s="4" t="n">
        <v>8</v>
      </c>
      <c r="Y141" s="4" t="n">
        <v>41</v>
      </c>
      <c r="Z141" s="4" t="n">
        <v>110</v>
      </c>
      <c r="AA141" s="4" t="n">
        <v>249</v>
      </c>
      <c r="AB141" s="4" t="n">
        <v>47</v>
      </c>
      <c r="AC141" s="4" t="n">
        <v>115</v>
      </c>
      <c r="AD141" s="14" t="n">
        <v>12276.07</v>
      </c>
      <c r="AE141" s="9" t="n">
        <v>52.2</v>
      </c>
      <c r="AF141" s="14" t="n">
        <v>23595</v>
      </c>
      <c r="AG141" s="14" t="n">
        <v>36668.86</v>
      </c>
      <c r="AH141" s="4" t="s">
        <v>141</v>
      </c>
      <c r="AI141" s="4" t="s">
        <v>142</v>
      </c>
      <c r="AJ141" s="4" t="s">
        <v>94</v>
      </c>
    </row>
    <row r="142" customFormat="false" ht="15" hidden="false" customHeight="false" outlineLevel="0" collapsed="false">
      <c r="A142" s="4" t="s">
        <v>424</v>
      </c>
      <c r="B142" s="4" t="s">
        <v>425</v>
      </c>
      <c r="C142" s="4" t="s">
        <v>80</v>
      </c>
      <c r="D142" s="4" t="s">
        <v>62</v>
      </c>
      <c r="E142" s="4" t="s">
        <v>74</v>
      </c>
      <c r="F142" s="4" t="s">
        <v>139</v>
      </c>
      <c r="G142" s="4" t="s">
        <v>140</v>
      </c>
      <c r="H142" s="14" t="n">
        <v>16741.41</v>
      </c>
      <c r="I142" s="14" t="n">
        <v>12000</v>
      </c>
      <c r="J142" s="15" t="n">
        <v>0.33</v>
      </c>
      <c r="K142" s="14" t="n">
        <v>2500.27</v>
      </c>
      <c r="L142" s="14" t="n">
        <v>1643.36</v>
      </c>
      <c r="M142" s="16" t="n">
        <v>45847</v>
      </c>
      <c r="N142" s="16" t="n">
        <v>45972</v>
      </c>
      <c r="O142" s="16" t="n">
        <v>46036</v>
      </c>
      <c r="P142" s="16" t="n">
        <v>46058</v>
      </c>
      <c r="Q142" s="16" t="n">
        <v>46086</v>
      </c>
      <c r="R142" s="16" t="n">
        <v>46131</v>
      </c>
      <c r="S142" s="16" t="n">
        <v>46202</v>
      </c>
      <c r="T142" s="4" t="n">
        <v>125</v>
      </c>
      <c r="U142" s="4" t="n">
        <v>64</v>
      </c>
      <c r="V142" s="4" t="n">
        <v>22</v>
      </c>
      <c r="W142" s="4" t="n">
        <v>28</v>
      </c>
      <c r="X142" s="4" t="n">
        <v>45</v>
      </c>
      <c r="Y142" s="4" t="n">
        <v>71</v>
      </c>
      <c r="Z142" s="4" t="n">
        <v>211</v>
      </c>
      <c r="AA142" s="4" t="n">
        <v>355</v>
      </c>
      <c r="AB142" s="4" t="n">
        <v>93</v>
      </c>
      <c r="AC142" s="4" t="n">
        <v>92</v>
      </c>
      <c r="AD142" s="14" t="n">
        <v>856.91</v>
      </c>
      <c r="AE142" s="9" t="n">
        <v>34.3</v>
      </c>
      <c r="AF142" s="14" t="n">
        <v>3960</v>
      </c>
      <c r="AG142" s="14" t="n">
        <v>6396.64</v>
      </c>
      <c r="AH142" s="4" t="s">
        <v>141</v>
      </c>
      <c r="AI142" s="4" t="s">
        <v>142</v>
      </c>
      <c r="AJ142" s="4" t="s">
        <v>98</v>
      </c>
    </row>
    <row r="143" customFormat="false" ht="15" hidden="false" customHeight="false" outlineLevel="0" collapsed="false">
      <c r="A143" s="4" t="s">
        <v>426</v>
      </c>
      <c r="B143" s="4" t="s">
        <v>427</v>
      </c>
      <c r="C143" s="4" t="s">
        <v>80</v>
      </c>
      <c r="D143" s="4" t="s">
        <v>59</v>
      </c>
      <c r="E143" s="4" t="s">
        <v>70</v>
      </c>
      <c r="F143" s="4" t="s">
        <v>139</v>
      </c>
      <c r="G143" s="4" t="s">
        <v>140</v>
      </c>
      <c r="H143" s="14" t="n">
        <v>23973.57</v>
      </c>
      <c r="I143" s="14" t="n">
        <v>25000</v>
      </c>
      <c r="J143" s="15" t="n">
        <v>0.33</v>
      </c>
      <c r="K143" s="14" t="n">
        <v>0</v>
      </c>
      <c r="L143" s="14" t="n">
        <v>0</v>
      </c>
      <c r="M143" s="16" t="n">
        <v>45849</v>
      </c>
      <c r="N143" s="16" t="n">
        <v>45997</v>
      </c>
      <c r="O143" s="16" t="n">
        <v>46087</v>
      </c>
      <c r="P143" s="16" t="n">
        <v>46111</v>
      </c>
      <c r="Q143" s="16" t="n">
        <v>46144</v>
      </c>
      <c r="R143" s="16" t="n">
        <v>46169</v>
      </c>
      <c r="S143" s="16" t="n">
        <v>46211</v>
      </c>
      <c r="T143" s="4" t="n">
        <v>148</v>
      </c>
      <c r="U143" s="4" t="n">
        <v>90</v>
      </c>
      <c r="V143" s="4" t="n">
        <v>24</v>
      </c>
      <c r="W143" s="4" t="n">
        <v>33</v>
      </c>
      <c r="X143" s="4" t="n">
        <v>25</v>
      </c>
      <c r="Y143" s="4" t="n">
        <v>42</v>
      </c>
      <c r="Z143" s="4" t="n">
        <v>262</v>
      </c>
      <c r="AA143" s="4" t="n">
        <v>362</v>
      </c>
      <c r="AB143" s="4" t="n">
        <v>66</v>
      </c>
      <c r="AC143" s="4" t="n">
        <v>123</v>
      </c>
      <c r="AD143" s="14" t="n">
        <v>0</v>
      </c>
      <c r="AE143" s="9"/>
      <c r="AF143" s="14" t="n">
        <v>8250</v>
      </c>
      <c r="AG143" s="14" t="n">
        <v>16750</v>
      </c>
      <c r="AH143" s="4" t="s">
        <v>141</v>
      </c>
      <c r="AI143" s="4" t="s">
        <v>142</v>
      </c>
      <c r="AJ143" s="4" t="s">
        <v>98</v>
      </c>
    </row>
    <row r="144" customFormat="false" ht="15" hidden="false" customHeight="false" outlineLevel="0" collapsed="false">
      <c r="A144" s="4" t="s">
        <v>428</v>
      </c>
      <c r="B144" s="4" t="s">
        <v>429</v>
      </c>
      <c r="C144" s="4" t="s">
        <v>80</v>
      </c>
      <c r="D144" s="4" t="s">
        <v>59</v>
      </c>
      <c r="E144" s="4" t="s">
        <v>74</v>
      </c>
      <c r="F144" s="4" t="s">
        <v>289</v>
      </c>
      <c r="G144" s="4" t="s">
        <v>290</v>
      </c>
      <c r="H144" s="14" t="n">
        <v>57493.57</v>
      </c>
      <c r="I144" s="14"/>
      <c r="J144" s="15" t="n">
        <v>0.4</v>
      </c>
      <c r="K144" s="14" t="n">
        <v>32800</v>
      </c>
      <c r="L144" s="14"/>
      <c r="M144" s="16" t="n">
        <v>45851</v>
      </c>
      <c r="N144" s="16" t="n">
        <v>46108</v>
      </c>
      <c r="O144" s="16" t="n">
        <v>46142</v>
      </c>
      <c r="P144" s="16" t="n">
        <v>46207</v>
      </c>
      <c r="Q144" s="16" t="n">
        <v>46227</v>
      </c>
      <c r="R144" s="4"/>
      <c r="S144" s="4"/>
      <c r="T144" s="4" t="n">
        <v>257</v>
      </c>
      <c r="U144" s="4" t="n">
        <v>34</v>
      </c>
      <c r="V144" s="4" t="n">
        <v>65</v>
      </c>
      <c r="W144" s="4" t="n">
        <v>20</v>
      </c>
      <c r="X144" s="4"/>
      <c r="Y144" s="4"/>
      <c r="Z144" s="4" t="n">
        <v>356</v>
      </c>
      <c r="AA144" s="4"/>
      <c r="AB144" s="4"/>
      <c r="AC144" s="4" t="n">
        <v>54</v>
      </c>
      <c r="AD144" s="14"/>
      <c r="AE144" s="9"/>
      <c r="AF144" s="14"/>
      <c r="AG144" s="14"/>
      <c r="AH144" s="4" t="s">
        <v>142</v>
      </c>
      <c r="AI144" s="4" t="s">
        <v>142</v>
      </c>
      <c r="AJ144" s="4"/>
    </row>
    <row r="145" customFormat="false" ht="15" hidden="false" customHeight="false" outlineLevel="0" collapsed="false">
      <c r="A145" s="4" t="s">
        <v>430</v>
      </c>
      <c r="B145" s="4" t="s">
        <v>431</v>
      </c>
      <c r="C145" s="4" t="s">
        <v>80</v>
      </c>
      <c r="D145" s="4" t="s">
        <v>61</v>
      </c>
      <c r="E145" s="4" t="s">
        <v>73</v>
      </c>
      <c r="F145" s="4" t="s">
        <v>139</v>
      </c>
      <c r="G145" s="4" t="s">
        <v>140</v>
      </c>
      <c r="H145" s="14" t="n">
        <v>19047.93</v>
      </c>
      <c r="I145" s="14" t="n">
        <v>15000</v>
      </c>
      <c r="J145" s="15" t="n">
        <v>0.33</v>
      </c>
      <c r="K145" s="14" t="n">
        <v>6743.62</v>
      </c>
      <c r="L145" s="14" t="n">
        <v>2018.99</v>
      </c>
      <c r="M145" s="16" t="n">
        <v>45852</v>
      </c>
      <c r="N145" s="16" t="n">
        <v>45890</v>
      </c>
      <c r="O145" s="16" t="n">
        <v>45924</v>
      </c>
      <c r="P145" s="16" t="n">
        <v>45937</v>
      </c>
      <c r="Q145" s="16" t="n">
        <v>45977</v>
      </c>
      <c r="R145" s="16" t="n">
        <v>45993</v>
      </c>
      <c r="S145" s="16" t="n">
        <v>46019</v>
      </c>
      <c r="T145" s="4" t="n">
        <v>38</v>
      </c>
      <c r="U145" s="4" t="n">
        <v>34</v>
      </c>
      <c r="V145" s="4" t="n">
        <v>13</v>
      </c>
      <c r="W145" s="4" t="n">
        <v>40</v>
      </c>
      <c r="X145" s="4" t="n">
        <v>16</v>
      </c>
      <c r="Y145" s="4" t="n">
        <v>26</v>
      </c>
      <c r="Z145" s="4" t="n">
        <v>85</v>
      </c>
      <c r="AA145" s="4" t="n">
        <v>167</v>
      </c>
      <c r="AB145" s="4" t="n">
        <v>39</v>
      </c>
      <c r="AC145" s="4" t="n">
        <v>74</v>
      </c>
      <c r="AD145" s="14" t="n">
        <v>4724.63</v>
      </c>
      <c r="AE145" s="9" t="n">
        <v>70.1</v>
      </c>
      <c r="AF145" s="14" t="n">
        <v>4950</v>
      </c>
      <c r="AG145" s="14" t="n">
        <v>8031.01</v>
      </c>
      <c r="AH145" s="4" t="s">
        <v>142</v>
      </c>
      <c r="AI145" s="4" t="s">
        <v>142</v>
      </c>
      <c r="AJ145" s="4"/>
    </row>
    <row r="146" customFormat="false" ht="15" hidden="false" customHeight="false" outlineLevel="0" collapsed="false">
      <c r="A146" s="4" t="s">
        <v>432</v>
      </c>
      <c r="B146" s="4" t="s">
        <v>433</v>
      </c>
      <c r="C146" s="4" t="s">
        <v>82</v>
      </c>
      <c r="D146" s="4" t="s">
        <v>63</v>
      </c>
      <c r="E146" s="4" t="s">
        <v>71</v>
      </c>
      <c r="F146" s="4" t="s">
        <v>289</v>
      </c>
      <c r="G146" s="4" t="s">
        <v>357</v>
      </c>
      <c r="H146" s="14" t="n">
        <v>37381.68</v>
      </c>
      <c r="I146" s="14" t="n">
        <v>25000</v>
      </c>
      <c r="J146" s="15" t="n">
        <v>0.33</v>
      </c>
      <c r="K146" s="14" t="n">
        <v>6816.36</v>
      </c>
      <c r="L146" s="14"/>
      <c r="M146" s="16" t="n">
        <v>45854</v>
      </c>
      <c r="N146" s="16" t="n">
        <v>46175</v>
      </c>
      <c r="O146" s="16" t="n">
        <v>46197</v>
      </c>
      <c r="P146" s="16" t="n">
        <v>46207</v>
      </c>
      <c r="Q146" s="16" t="n">
        <v>46252</v>
      </c>
      <c r="R146" s="16" t="n">
        <v>46294</v>
      </c>
      <c r="S146" s="4"/>
      <c r="T146" s="4" t="n">
        <v>321</v>
      </c>
      <c r="U146" s="4" t="n">
        <v>22</v>
      </c>
      <c r="V146" s="4" t="n">
        <v>10</v>
      </c>
      <c r="W146" s="4" t="n">
        <v>45</v>
      </c>
      <c r="X146" s="4" t="n">
        <v>42</v>
      </c>
      <c r="Y146" s="4"/>
      <c r="Z146" s="4" t="n">
        <v>353</v>
      </c>
      <c r="AA146" s="4"/>
      <c r="AB146" s="4"/>
      <c r="AC146" s="4" t="n">
        <v>67</v>
      </c>
      <c r="AD146" s="14"/>
      <c r="AE146" s="9"/>
      <c r="AF146" s="14" t="n">
        <v>8250</v>
      </c>
      <c r="AG146" s="14"/>
      <c r="AH146" s="4" t="s">
        <v>142</v>
      </c>
      <c r="AI146" s="4" t="s">
        <v>142</v>
      </c>
      <c r="AJ146" s="4"/>
    </row>
    <row r="147" customFormat="false" ht="15" hidden="false" customHeight="false" outlineLevel="0" collapsed="false">
      <c r="A147" s="4" t="s">
        <v>434</v>
      </c>
      <c r="B147" s="4" t="s">
        <v>435</v>
      </c>
      <c r="C147" s="4" t="s">
        <v>81</v>
      </c>
      <c r="D147" s="4" t="s">
        <v>61</v>
      </c>
      <c r="E147" s="4" t="s">
        <v>72</v>
      </c>
      <c r="F147" s="4" t="s">
        <v>139</v>
      </c>
      <c r="G147" s="4" t="s">
        <v>140</v>
      </c>
      <c r="H147" s="14" t="n">
        <v>27582.59</v>
      </c>
      <c r="I147" s="14" t="n">
        <v>51250</v>
      </c>
      <c r="J147" s="15" t="n">
        <v>0.33</v>
      </c>
      <c r="K147" s="14" t="n">
        <v>7829.93</v>
      </c>
      <c r="L147" s="14" t="n">
        <v>7054.33</v>
      </c>
      <c r="M147" s="16" t="n">
        <v>45856</v>
      </c>
      <c r="N147" s="16" t="n">
        <v>45911</v>
      </c>
      <c r="O147" s="16" t="n">
        <v>45934</v>
      </c>
      <c r="P147" s="16" t="n">
        <v>45944</v>
      </c>
      <c r="Q147" s="16" t="n">
        <v>45966</v>
      </c>
      <c r="R147" s="16" t="n">
        <v>45984</v>
      </c>
      <c r="S147" s="16" t="n">
        <v>46016</v>
      </c>
      <c r="T147" s="4" t="n">
        <v>55</v>
      </c>
      <c r="U147" s="4" t="n">
        <v>23</v>
      </c>
      <c r="V147" s="4" t="n">
        <v>10</v>
      </c>
      <c r="W147" s="4" t="n">
        <v>22</v>
      </c>
      <c r="X147" s="4" t="n">
        <v>18</v>
      </c>
      <c r="Y147" s="4" t="n">
        <v>32</v>
      </c>
      <c r="Z147" s="4" t="n">
        <v>88</v>
      </c>
      <c r="AA147" s="4" t="n">
        <v>160</v>
      </c>
      <c r="AB147" s="4" t="n">
        <v>42</v>
      </c>
      <c r="AC147" s="4" t="n">
        <v>45</v>
      </c>
      <c r="AD147" s="14" t="n">
        <v>775.6</v>
      </c>
      <c r="AE147" s="9" t="n">
        <v>9.9</v>
      </c>
      <c r="AF147" s="14" t="n">
        <v>16912.5</v>
      </c>
      <c r="AG147" s="14" t="n">
        <v>27283.17</v>
      </c>
      <c r="AH147" s="4" t="s">
        <v>142</v>
      </c>
      <c r="AI147" s="4" t="s">
        <v>142</v>
      </c>
      <c r="AJ147" s="4"/>
    </row>
    <row r="148" customFormat="false" ht="15" hidden="false" customHeight="false" outlineLevel="0" collapsed="false">
      <c r="A148" s="4" t="s">
        <v>436</v>
      </c>
      <c r="B148" s="4" t="s">
        <v>437</v>
      </c>
      <c r="C148" s="4" t="s">
        <v>80</v>
      </c>
      <c r="D148" s="4" t="s">
        <v>61</v>
      </c>
      <c r="E148" s="4" t="s">
        <v>73</v>
      </c>
      <c r="F148" s="4" t="s">
        <v>139</v>
      </c>
      <c r="G148" s="4" t="s">
        <v>140</v>
      </c>
      <c r="H148" s="14" t="n">
        <v>8121.52</v>
      </c>
      <c r="I148" s="14" t="n">
        <v>9000</v>
      </c>
      <c r="J148" s="15" t="n">
        <v>0.33</v>
      </c>
      <c r="K148" s="14" t="n">
        <v>4349.06</v>
      </c>
      <c r="L148" s="14" t="n">
        <v>2939.69</v>
      </c>
      <c r="M148" s="16" t="n">
        <v>45861</v>
      </c>
      <c r="N148" s="16" t="n">
        <v>45972</v>
      </c>
      <c r="O148" s="16" t="n">
        <v>45995</v>
      </c>
      <c r="P148" s="16" t="n">
        <v>46010</v>
      </c>
      <c r="Q148" s="16" t="n">
        <v>46031</v>
      </c>
      <c r="R148" s="16" t="n">
        <v>46059</v>
      </c>
      <c r="S148" s="16" t="n">
        <v>46077</v>
      </c>
      <c r="T148" s="4" t="n">
        <v>111</v>
      </c>
      <c r="U148" s="4" t="n">
        <v>23</v>
      </c>
      <c r="V148" s="4" t="n">
        <v>15</v>
      </c>
      <c r="W148" s="4" t="n">
        <v>21</v>
      </c>
      <c r="X148" s="4" t="n">
        <v>28</v>
      </c>
      <c r="Y148" s="4" t="n">
        <v>18</v>
      </c>
      <c r="Z148" s="4" t="n">
        <v>149</v>
      </c>
      <c r="AA148" s="4" t="n">
        <v>216</v>
      </c>
      <c r="AB148" s="4" t="n">
        <v>33</v>
      </c>
      <c r="AC148" s="4" t="n">
        <v>44</v>
      </c>
      <c r="AD148" s="14" t="n">
        <v>1409.37</v>
      </c>
      <c r="AE148" s="9" t="n">
        <v>32.4</v>
      </c>
      <c r="AF148" s="14" t="n">
        <v>2970</v>
      </c>
      <c r="AG148" s="14" t="n">
        <v>3090.31</v>
      </c>
      <c r="AH148" s="4" t="s">
        <v>142</v>
      </c>
      <c r="AI148" s="4" t="s">
        <v>142</v>
      </c>
      <c r="AJ148" s="4"/>
    </row>
    <row r="149" customFormat="false" ht="15" hidden="false" customHeight="false" outlineLevel="0" collapsed="false">
      <c r="A149" s="4" t="s">
        <v>438</v>
      </c>
      <c r="B149" s="4" t="s">
        <v>439</v>
      </c>
      <c r="C149" s="4" t="s">
        <v>80</v>
      </c>
      <c r="D149" s="4" t="s">
        <v>60</v>
      </c>
      <c r="E149" s="4" t="s">
        <v>73</v>
      </c>
      <c r="F149" s="4" t="s">
        <v>139</v>
      </c>
      <c r="G149" s="4" t="s">
        <v>140</v>
      </c>
      <c r="H149" s="14" t="n">
        <v>10890.92</v>
      </c>
      <c r="I149" s="14" t="n">
        <v>19250</v>
      </c>
      <c r="J149" s="15" t="n">
        <v>0.33</v>
      </c>
      <c r="K149" s="14" t="n">
        <v>3738.68</v>
      </c>
      <c r="L149" s="14" t="n">
        <v>2725.5</v>
      </c>
      <c r="M149" s="16" t="n">
        <v>45863</v>
      </c>
      <c r="N149" s="16" t="n">
        <v>45912</v>
      </c>
      <c r="O149" s="16" t="n">
        <v>45925</v>
      </c>
      <c r="P149" s="16" t="n">
        <v>45936</v>
      </c>
      <c r="Q149" s="16" t="n">
        <v>45966</v>
      </c>
      <c r="R149" s="16" t="n">
        <v>46004</v>
      </c>
      <c r="S149" s="16" t="n">
        <v>46044</v>
      </c>
      <c r="T149" s="4" t="n">
        <v>49</v>
      </c>
      <c r="U149" s="4" t="n">
        <v>13</v>
      </c>
      <c r="V149" s="4" t="n">
        <v>11</v>
      </c>
      <c r="W149" s="4" t="n">
        <v>30</v>
      </c>
      <c r="X149" s="4" t="n">
        <v>38</v>
      </c>
      <c r="Y149" s="4" t="n">
        <v>40</v>
      </c>
      <c r="Z149" s="4" t="n">
        <v>73</v>
      </c>
      <c r="AA149" s="4" t="n">
        <v>181</v>
      </c>
      <c r="AB149" s="4" t="n">
        <v>51</v>
      </c>
      <c r="AC149" s="4" t="n">
        <v>43</v>
      </c>
      <c r="AD149" s="14" t="n">
        <v>1013.18</v>
      </c>
      <c r="AE149" s="9" t="n">
        <v>27.1</v>
      </c>
      <c r="AF149" s="14" t="n">
        <v>6352.5</v>
      </c>
      <c r="AG149" s="14" t="n">
        <v>10172</v>
      </c>
      <c r="AH149" s="4" t="s">
        <v>142</v>
      </c>
      <c r="AI149" s="4" t="s">
        <v>142</v>
      </c>
      <c r="AJ149" s="4"/>
    </row>
    <row r="150" customFormat="false" ht="15" hidden="false" customHeight="false" outlineLevel="0" collapsed="false">
      <c r="A150" s="4" t="s">
        <v>440</v>
      </c>
      <c r="B150" s="4" t="s">
        <v>441</v>
      </c>
      <c r="C150" s="4" t="s">
        <v>82</v>
      </c>
      <c r="D150" s="4" t="s">
        <v>62</v>
      </c>
      <c r="E150" s="4" t="s">
        <v>73</v>
      </c>
      <c r="F150" s="4" t="s">
        <v>139</v>
      </c>
      <c r="G150" s="4" t="s">
        <v>140</v>
      </c>
      <c r="H150" s="14" t="n">
        <v>94356.78</v>
      </c>
      <c r="I150" s="14" t="n">
        <v>25000</v>
      </c>
      <c r="J150" s="15" t="n">
        <v>0.33</v>
      </c>
      <c r="K150" s="14" t="n">
        <v>17658.34</v>
      </c>
      <c r="L150" s="14" t="n">
        <v>8750</v>
      </c>
      <c r="M150" s="16" t="n">
        <v>45864</v>
      </c>
      <c r="N150" s="16" t="n">
        <v>45979</v>
      </c>
      <c r="O150" s="16" t="n">
        <v>45994</v>
      </c>
      <c r="P150" s="16" t="n">
        <v>46010</v>
      </c>
      <c r="Q150" s="16" t="n">
        <v>46038</v>
      </c>
      <c r="R150" s="16" t="n">
        <v>46056</v>
      </c>
      <c r="S150" s="16" t="n">
        <v>46096</v>
      </c>
      <c r="T150" s="4" t="n">
        <v>115</v>
      </c>
      <c r="U150" s="4" t="n">
        <v>15</v>
      </c>
      <c r="V150" s="4" t="n">
        <v>16</v>
      </c>
      <c r="W150" s="4" t="n">
        <v>28</v>
      </c>
      <c r="X150" s="4" t="n">
        <v>18</v>
      </c>
      <c r="Y150" s="4" t="n">
        <v>40</v>
      </c>
      <c r="Z150" s="4" t="n">
        <v>146</v>
      </c>
      <c r="AA150" s="4" t="n">
        <v>232</v>
      </c>
      <c r="AB150" s="4" t="n">
        <v>56</v>
      </c>
      <c r="AC150" s="4" t="n">
        <v>43</v>
      </c>
      <c r="AD150" s="14" t="n">
        <v>8908.34</v>
      </c>
      <c r="AE150" s="9" t="n">
        <v>50.4</v>
      </c>
      <c r="AF150" s="14" t="n">
        <v>8250</v>
      </c>
      <c r="AG150" s="14" t="n">
        <v>8000</v>
      </c>
      <c r="AH150" s="4" t="s">
        <v>142</v>
      </c>
      <c r="AI150" s="4" t="s">
        <v>142</v>
      </c>
      <c r="AJ150" s="4"/>
    </row>
    <row r="151" customFormat="false" ht="15" hidden="false" customHeight="false" outlineLevel="0" collapsed="false">
      <c r="A151" s="4" t="s">
        <v>442</v>
      </c>
      <c r="B151" s="4" t="s">
        <v>443</v>
      </c>
      <c r="C151" s="4" t="s">
        <v>80</v>
      </c>
      <c r="D151" s="4" t="s">
        <v>59</v>
      </c>
      <c r="E151" s="4" t="s">
        <v>70</v>
      </c>
      <c r="F151" s="4" t="s">
        <v>289</v>
      </c>
      <c r="G151" s="4" t="s">
        <v>290</v>
      </c>
      <c r="H151" s="14" t="n">
        <v>82210.11</v>
      </c>
      <c r="I151" s="14"/>
      <c r="J151" s="15" t="n">
        <v>0.4</v>
      </c>
      <c r="K151" s="14" t="n">
        <v>29338.42</v>
      </c>
      <c r="L151" s="14"/>
      <c r="M151" s="16" t="n">
        <v>45865</v>
      </c>
      <c r="N151" s="16" t="n">
        <v>46063</v>
      </c>
      <c r="O151" s="16" t="n">
        <v>46079</v>
      </c>
      <c r="P151" s="16" t="n">
        <v>46092</v>
      </c>
      <c r="Q151" s="16" t="n">
        <v>46121</v>
      </c>
      <c r="R151" s="4"/>
      <c r="S151" s="4"/>
      <c r="T151" s="4" t="n">
        <v>198</v>
      </c>
      <c r="U151" s="4" t="n">
        <v>16</v>
      </c>
      <c r="V151" s="4" t="n">
        <v>13</v>
      </c>
      <c r="W151" s="4" t="n">
        <v>29</v>
      </c>
      <c r="X151" s="4"/>
      <c r="Y151" s="4"/>
      <c r="Z151" s="4" t="n">
        <v>227</v>
      </c>
      <c r="AA151" s="4"/>
      <c r="AB151" s="4"/>
      <c r="AC151" s="4" t="n">
        <v>45</v>
      </c>
      <c r="AD151" s="14"/>
      <c r="AE151" s="9"/>
      <c r="AF151" s="14"/>
      <c r="AG151" s="14"/>
      <c r="AH151" s="4" t="s">
        <v>142</v>
      </c>
      <c r="AI151" s="4" t="s">
        <v>142</v>
      </c>
      <c r="AJ151" s="4"/>
    </row>
    <row r="152" customFormat="false" ht="15" hidden="false" customHeight="false" outlineLevel="0" collapsed="false">
      <c r="A152" s="4" t="s">
        <v>444</v>
      </c>
      <c r="B152" s="4" t="s">
        <v>445</v>
      </c>
      <c r="C152" s="4" t="s">
        <v>80</v>
      </c>
      <c r="D152" s="4" t="s">
        <v>61</v>
      </c>
      <c r="E152" s="4" t="s">
        <v>74</v>
      </c>
      <c r="F152" s="4" t="s">
        <v>289</v>
      </c>
      <c r="G152" s="4" t="s">
        <v>290</v>
      </c>
      <c r="H152" s="14" t="n">
        <v>43092.36</v>
      </c>
      <c r="I152" s="14"/>
      <c r="J152" s="15" t="n">
        <v>0.4</v>
      </c>
      <c r="K152" s="14" t="n">
        <v>14585.48</v>
      </c>
      <c r="L152" s="14"/>
      <c r="M152" s="16" t="n">
        <v>45868</v>
      </c>
      <c r="N152" s="16" t="n">
        <v>45991</v>
      </c>
      <c r="O152" s="16" t="n">
        <v>46037</v>
      </c>
      <c r="P152" s="16" t="n">
        <v>46048</v>
      </c>
      <c r="Q152" s="16" t="n">
        <v>46149</v>
      </c>
      <c r="R152" s="4"/>
      <c r="S152" s="4"/>
      <c r="T152" s="4" t="n">
        <v>123</v>
      </c>
      <c r="U152" s="4" t="n">
        <v>46</v>
      </c>
      <c r="V152" s="4" t="n">
        <v>11</v>
      </c>
      <c r="W152" s="4" t="n">
        <v>101</v>
      </c>
      <c r="X152" s="4"/>
      <c r="Y152" s="4"/>
      <c r="Z152" s="4" t="n">
        <v>180</v>
      </c>
      <c r="AA152" s="4"/>
      <c r="AB152" s="4"/>
      <c r="AC152" s="4" t="n">
        <v>147</v>
      </c>
      <c r="AD152" s="14"/>
      <c r="AE152" s="9"/>
      <c r="AF152" s="14"/>
      <c r="AG152" s="14"/>
      <c r="AH152" s="4" t="s">
        <v>141</v>
      </c>
      <c r="AI152" s="4" t="s">
        <v>142</v>
      </c>
      <c r="AJ152" s="4" t="s">
        <v>101</v>
      </c>
    </row>
    <row r="153" customFormat="false" ht="15" hidden="false" customHeight="false" outlineLevel="0" collapsed="false">
      <c r="A153" s="4" t="s">
        <v>446</v>
      </c>
      <c r="B153" s="4" t="s">
        <v>447</v>
      </c>
      <c r="C153" s="4" t="s">
        <v>80</v>
      </c>
      <c r="D153" s="4" t="s">
        <v>62</v>
      </c>
      <c r="E153" s="4" t="s">
        <v>73</v>
      </c>
      <c r="F153" s="4" t="s">
        <v>139</v>
      </c>
      <c r="G153" s="4" t="s">
        <v>140</v>
      </c>
      <c r="H153" s="14" t="n">
        <v>26866.04</v>
      </c>
      <c r="I153" s="14" t="n">
        <v>22000</v>
      </c>
      <c r="J153" s="15" t="n">
        <v>0.33</v>
      </c>
      <c r="K153" s="14" t="n">
        <v>3208.57</v>
      </c>
      <c r="L153" s="14" t="n">
        <v>1831.72</v>
      </c>
      <c r="M153" s="16" t="n">
        <v>45876</v>
      </c>
      <c r="N153" s="16" t="n">
        <v>45900</v>
      </c>
      <c r="O153" s="16" t="n">
        <v>45911</v>
      </c>
      <c r="P153" s="16" t="n">
        <v>45935</v>
      </c>
      <c r="Q153" s="16" t="n">
        <v>45972</v>
      </c>
      <c r="R153" s="16" t="n">
        <v>46016</v>
      </c>
      <c r="S153" s="16" t="n">
        <v>46040</v>
      </c>
      <c r="T153" s="4" t="n">
        <v>24</v>
      </c>
      <c r="U153" s="4" t="n">
        <v>11</v>
      </c>
      <c r="V153" s="4" t="n">
        <v>24</v>
      </c>
      <c r="W153" s="4" t="n">
        <v>37</v>
      </c>
      <c r="X153" s="4" t="n">
        <v>44</v>
      </c>
      <c r="Y153" s="4" t="n">
        <v>24</v>
      </c>
      <c r="Z153" s="4" t="n">
        <v>59</v>
      </c>
      <c r="AA153" s="4" t="n">
        <v>164</v>
      </c>
      <c r="AB153" s="4" t="n">
        <v>48</v>
      </c>
      <c r="AC153" s="4" t="n">
        <v>48</v>
      </c>
      <c r="AD153" s="14" t="n">
        <v>1376.85</v>
      </c>
      <c r="AE153" s="9" t="n">
        <v>42.9</v>
      </c>
      <c r="AF153" s="14" t="n">
        <v>7260</v>
      </c>
      <c r="AG153" s="14" t="n">
        <v>12908.28</v>
      </c>
      <c r="AH153" s="4" t="s">
        <v>142</v>
      </c>
      <c r="AI153" s="4" t="s">
        <v>142</v>
      </c>
      <c r="AJ153" s="4"/>
    </row>
    <row r="154" customFormat="false" ht="15" hidden="false" customHeight="false" outlineLevel="0" collapsed="false">
      <c r="A154" s="4" t="s">
        <v>448</v>
      </c>
      <c r="B154" s="4" t="s">
        <v>449</v>
      </c>
      <c r="C154" s="4" t="s">
        <v>82</v>
      </c>
      <c r="D154" s="4" t="s">
        <v>60</v>
      </c>
      <c r="E154" s="4" t="s">
        <v>73</v>
      </c>
      <c r="F154" s="4" t="s">
        <v>139</v>
      </c>
      <c r="G154" s="4" t="s">
        <v>140</v>
      </c>
      <c r="H154" s="14" t="n">
        <v>37975.71</v>
      </c>
      <c r="I154" s="14" t="n">
        <v>50000</v>
      </c>
      <c r="J154" s="15" t="n">
        <v>0.33</v>
      </c>
      <c r="K154" s="14" t="n">
        <v>11929.23</v>
      </c>
      <c r="L154" s="14" t="n">
        <v>9191.93</v>
      </c>
      <c r="M154" s="16" t="n">
        <v>45884</v>
      </c>
      <c r="N154" s="16" t="n">
        <v>46055</v>
      </c>
      <c r="O154" s="16" t="n">
        <v>46090</v>
      </c>
      <c r="P154" s="16" t="n">
        <v>46119</v>
      </c>
      <c r="Q154" s="16" t="n">
        <v>46173</v>
      </c>
      <c r="R154" s="16" t="n">
        <v>46185</v>
      </c>
      <c r="S154" s="16" t="n">
        <v>46216</v>
      </c>
      <c r="T154" s="4" t="n">
        <v>171</v>
      </c>
      <c r="U154" s="4" t="n">
        <v>35</v>
      </c>
      <c r="V154" s="4" t="n">
        <v>29</v>
      </c>
      <c r="W154" s="4" t="n">
        <v>54</v>
      </c>
      <c r="X154" s="4" t="n">
        <v>12</v>
      </c>
      <c r="Y154" s="4" t="n">
        <v>31</v>
      </c>
      <c r="Z154" s="4" t="n">
        <v>235</v>
      </c>
      <c r="AA154" s="4" t="n">
        <v>332</v>
      </c>
      <c r="AB154" s="4" t="n">
        <v>60</v>
      </c>
      <c r="AC154" s="4" t="n">
        <v>89</v>
      </c>
      <c r="AD154" s="14" t="n">
        <v>2737.3</v>
      </c>
      <c r="AE154" s="9" t="n">
        <v>22.9</v>
      </c>
      <c r="AF154" s="14" t="n">
        <v>16500</v>
      </c>
      <c r="AG154" s="14" t="n">
        <v>24308.07</v>
      </c>
      <c r="AH154" s="4" t="s">
        <v>141</v>
      </c>
      <c r="AI154" s="4" t="s">
        <v>142</v>
      </c>
      <c r="AJ154" s="4" t="s">
        <v>94</v>
      </c>
    </row>
    <row r="155" customFormat="false" ht="15" hidden="false" customHeight="false" outlineLevel="0" collapsed="false">
      <c r="A155" s="4" t="s">
        <v>450</v>
      </c>
      <c r="B155" s="4" t="s">
        <v>451</v>
      </c>
      <c r="C155" s="4" t="s">
        <v>80</v>
      </c>
      <c r="D155" s="4" t="s">
        <v>62</v>
      </c>
      <c r="E155" s="4" t="s">
        <v>73</v>
      </c>
      <c r="F155" s="4" t="s">
        <v>139</v>
      </c>
      <c r="G155" s="4" t="s">
        <v>140</v>
      </c>
      <c r="H155" s="14" t="n">
        <v>47525.06</v>
      </c>
      <c r="I155" s="14" t="n">
        <v>100000</v>
      </c>
      <c r="J155" s="15" t="n">
        <v>0.33</v>
      </c>
      <c r="K155" s="14" t="n">
        <v>0</v>
      </c>
      <c r="L155" s="14" t="n">
        <v>0</v>
      </c>
      <c r="M155" s="16" t="n">
        <v>45887</v>
      </c>
      <c r="N155" s="16" t="n">
        <v>46024</v>
      </c>
      <c r="O155" s="16" t="n">
        <v>46036</v>
      </c>
      <c r="P155" s="16" t="n">
        <v>46051</v>
      </c>
      <c r="Q155" s="16" t="n">
        <v>46069</v>
      </c>
      <c r="R155" s="16" t="n">
        <v>46087</v>
      </c>
      <c r="S155" s="16" t="n">
        <v>46129</v>
      </c>
      <c r="T155" s="4" t="n">
        <v>137</v>
      </c>
      <c r="U155" s="4" t="n">
        <v>12</v>
      </c>
      <c r="V155" s="4" t="n">
        <v>15</v>
      </c>
      <c r="W155" s="4" t="n">
        <v>18</v>
      </c>
      <c r="X155" s="4" t="n">
        <v>18</v>
      </c>
      <c r="Y155" s="4" t="n">
        <v>42</v>
      </c>
      <c r="Z155" s="4" t="n">
        <v>164</v>
      </c>
      <c r="AA155" s="4" t="n">
        <v>242</v>
      </c>
      <c r="AB155" s="4" t="n">
        <v>57</v>
      </c>
      <c r="AC155" s="4" t="n">
        <v>30</v>
      </c>
      <c r="AD155" s="14" t="n">
        <v>0</v>
      </c>
      <c r="AE155" s="9"/>
      <c r="AF155" s="14" t="n">
        <v>33000</v>
      </c>
      <c r="AG155" s="14" t="n">
        <v>67000</v>
      </c>
      <c r="AH155" s="4" t="s">
        <v>142</v>
      </c>
      <c r="AI155" s="4" t="s">
        <v>142</v>
      </c>
      <c r="AJ155" s="4"/>
    </row>
    <row r="156" customFormat="false" ht="15" hidden="false" customHeight="false" outlineLevel="0" collapsed="false">
      <c r="A156" s="4" t="s">
        <v>452</v>
      </c>
      <c r="B156" s="4" t="s">
        <v>453</v>
      </c>
      <c r="C156" s="4" t="s">
        <v>80</v>
      </c>
      <c r="D156" s="4" t="s">
        <v>62</v>
      </c>
      <c r="E156" s="4" t="s">
        <v>71</v>
      </c>
      <c r="F156" s="4" t="s">
        <v>289</v>
      </c>
      <c r="G156" s="4" t="s">
        <v>357</v>
      </c>
      <c r="H156" s="14" t="n">
        <v>34169.92</v>
      </c>
      <c r="I156" s="14" t="n">
        <v>50000</v>
      </c>
      <c r="J156" s="15" t="n">
        <v>0.33</v>
      </c>
      <c r="K156" s="14" t="n">
        <v>15000</v>
      </c>
      <c r="L156" s="14"/>
      <c r="M156" s="16" t="n">
        <v>45889</v>
      </c>
      <c r="N156" s="16" t="n">
        <v>46206</v>
      </c>
      <c r="O156" s="16" t="n">
        <v>46228</v>
      </c>
      <c r="P156" s="16" t="n">
        <v>46235</v>
      </c>
      <c r="Q156" s="16" t="n">
        <v>46252</v>
      </c>
      <c r="R156" s="16" t="n">
        <v>46272</v>
      </c>
      <c r="S156" s="4"/>
      <c r="T156" s="4" t="n">
        <v>317</v>
      </c>
      <c r="U156" s="4" t="n">
        <v>22</v>
      </c>
      <c r="V156" s="4" t="n">
        <v>7</v>
      </c>
      <c r="W156" s="4" t="n">
        <v>17</v>
      </c>
      <c r="X156" s="4" t="n">
        <v>20</v>
      </c>
      <c r="Y156" s="4"/>
      <c r="Z156" s="4" t="n">
        <v>346</v>
      </c>
      <c r="AA156" s="4"/>
      <c r="AB156" s="4"/>
      <c r="AC156" s="4" t="n">
        <v>39</v>
      </c>
      <c r="AD156" s="14"/>
      <c r="AE156" s="9"/>
      <c r="AF156" s="14" t="n">
        <v>16500</v>
      </c>
      <c r="AG156" s="14"/>
      <c r="AH156" s="4" t="s">
        <v>142</v>
      </c>
      <c r="AI156" s="4" t="s">
        <v>142</v>
      </c>
      <c r="AJ156" s="4"/>
    </row>
    <row r="157" customFormat="false" ht="15" hidden="false" customHeight="false" outlineLevel="0" collapsed="false">
      <c r="A157" s="4" t="s">
        <v>454</v>
      </c>
      <c r="B157" s="4" t="s">
        <v>455</v>
      </c>
      <c r="C157" s="4" t="s">
        <v>80</v>
      </c>
      <c r="D157" s="4" t="s">
        <v>63</v>
      </c>
      <c r="E157" s="4" t="s">
        <v>73</v>
      </c>
      <c r="F157" s="4" t="s">
        <v>289</v>
      </c>
      <c r="G157" s="4" t="s">
        <v>290</v>
      </c>
      <c r="H157" s="14" t="n">
        <v>23545.63</v>
      </c>
      <c r="I157" s="14"/>
      <c r="J157" s="15" t="n">
        <v>0.4</v>
      </c>
      <c r="K157" s="14" t="n">
        <v>9258.47</v>
      </c>
      <c r="L157" s="14"/>
      <c r="M157" s="16" t="n">
        <v>45908</v>
      </c>
      <c r="N157" s="16" t="n">
        <v>46161</v>
      </c>
      <c r="O157" s="16" t="n">
        <v>46208</v>
      </c>
      <c r="P157" s="16" t="n">
        <v>46216</v>
      </c>
      <c r="Q157" s="16" t="n">
        <v>46247</v>
      </c>
      <c r="R157" s="4"/>
      <c r="S157" s="4"/>
      <c r="T157" s="4" t="n">
        <v>253</v>
      </c>
      <c r="U157" s="4" t="n">
        <v>47</v>
      </c>
      <c r="V157" s="4" t="n">
        <v>8</v>
      </c>
      <c r="W157" s="4" t="n">
        <v>31</v>
      </c>
      <c r="X157" s="4"/>
      <c r="Y157" s="4"/>
      <c r="Z157" s="4" t="n">
        <v>308</v>
      </c>
      <c r="AA157" s="4"/>
      <c r="AB157" s="4"/>
      <c r="AC157" s="4" t="n">
        <v>78</v>
      </c>
      <c r="AD157" s="14"/>
      <c r="AE157" s="9"/>
      <c r="AF157" s="14"/>
      <c r="AG157" s="14"/>
      <c r="AH157" s="4" t="s">
        <v>141</v>
      </c>
      <c r="AI157" s="4" t="s">
        <v>142</v>
      </c>
      <c r="AJ157" s="4" t="s">
        <v>98</v>
      </c>
    </row>
    <row r="158" customFormat="false" ht="15" hidden="false" customHeight="false" outlineLevel="0" collapsed="false">
      <c r="A158" s="4" t="s">
        <v>456</v>
      </c>
      <c r="B158" s="4" t="s">
        <v>457</v>
      </c>
      <c r="C158" s="4" t="s">
        <v>80</v>
      </c>
      <c r="D158" s="4" t="s">
        <v>63</v>
      </c>
      <c r="E158" s="4" t="s">
        <v>71</v>
      </c>
      <c r="F158" s="4" t="s">
        <v>139</v>
      </c>
      <c r="G158" s="4" t="s">
        <v>140</v>
      </c>
      <c r="H158" s="14" t="n">
        <v>20593.57</v>
      </c>
      <c r="I158" s="14" t="n">
        <v>50000</v>
      </c>
      <c r="J158" s="15" t="n">
        <v>0.33</v>
      </c>
      <c r="K158" s="14" t="n">
        <v>4470.21</v>
      </c>
      <c r="L158" s="14" t="n">
        <v>3235.56</v>
      </c>
      <c r="M158" s="16" t="n">
        <v>45924</v>
      </c>
      <c r="N158" s="16" t="n">
        <v>46058</v>
      </c>
      <c r="O158" s="16" t="n">
        <v>46068</v>
      </c>
      <c r="P158" s="16" t="n">
        <v>46082</v>
      </c>
      <c r="Q158" s="16" t="n">
        <v>46100</v>
      </c>
      <c r="R158" s="16" t="n">
        <v>46154</v>
      </c>
      <c r="S158" s="16" t="n">
        <v>46178</v>
      </c>
      <c r="T158" s="4" t="n">
        <v>134</v>
      </c>
      <c r="U158" s="4" t="n">
        <v>10</v>
      </c>
      <c r="V158" s="4" t="n">
        <v>14</v>
      </c>
      <c r="W158" s="4" t="n">
        <v>18</v>
      </c>
      <c r="X158" s="4" t="n">
        <v>54</v>
      </c>
      <c r="Y158" s="4" t="n">
        <v>24</v>
      </c>
      <c r="Z158" s="4" t="n">
        <v>158</v>
      </c>
      <c r="AA158" s="4" t="n">
        <v>254</v>
      </c>
      <c r="AB158" s="4" t="n">
        <v>38</v>
      </c>
      <c r="AC158" s="4" t="n">
        <v>28</v>
      </c>
      <c r="AD158" s="14" t="n">
        <v>1234.65</v>
      </c>
      <c r="AE158" s="9" t="n">
        <v>27.6</v>
      </c>
      <c r="AF158" s="14" t="n">
        <v>16500</v>
      </c>
      <c r="AG158" s="14" t="n">
        <v>30264.44</v>
      </c>
      <c r="AH158" s="4" t="s">
        <v>142</v>
      </c>
      <c r="AI158" s="4" t="s">
        <v>142</v>
      </c>
      <c r="AJ158" s="4"/>
    </row>
    <row r="159" customFormat="false" ht="15" hidden="false" customHeight="false" outlineLevel="0" collapsed="false">
      <c r="A159" s="4" t="s">
        <v>458</v>
      </c>
      <c r="B159" s="4" t="s">
        <v>459</v>
      </c>
      <c r="C159" s="4" t="s">
        <v>83</v>
      </c>
      <c r="D159" s="4" t="s">
        <v>63</v>
      </c>
      <c r="E159" s="4" t="s">
        <v>72</v>
      </c>
      <c r="F159" s="4" t="s">
        <v>139</v>
      </c>
      <c r="G159" s="4" t="s">
        <v>140</v>
      </c>
      <c r="H159" s="14" t="n">
        <v>11700.38</v>
      </c>
      <c r="I159" s="14" t="n">
        <v>18750</v>
      </c>
      <c r="J159" s="15" t="n">
        <v>0.33</v>
      </c>
      <c r="K159" s="14" t="n">
        <v>7836.71</v>
      </c>
      <c r="L159" s="14" t="n">
        <v>3107.6</v>
      </c>
      <c r="M159" s="16" t="n">
        <v>45924</v>
      </c>
      <c r="N159" s="16" t="n">
        <v>45981</v>
      </c>
      <c r="O159" s="16" t="n">
        <v>45998</v>
      </c>
      <c r="P159" s="16" t="n">
        <v>46012</v>
      </c>
      <c r="Q159" s="16" t="n">
        <v>46046</v>
      </c>
      <c r="R159" s="16" t="n">
        <v>46070</v>
      </c>
      <c r="S159" s="16" t="n">
        <v>46097</v>
      </c>
      <c r="T159" s="4" t="n">
        <v>57</v>
      </c>
      <c r="U159" s="4" t="n">
        <v>17</v>
      </c>
      <c r="V159" s="4" t="n">
        <v>14</v>
      </c>
      <c r="W159" s="4" t="n">
        <v>34</v>
      </c>
      <c r="X159" s="4" t="n">
        <v>24</v>
      </c>
      <c r="Y159" s="4" t="n">
        <v>27</v>
      </c>
      <c r="Z159" s="4" t="n">
        <v>88</v>
      </c>
      <c r="AA159" s="4" t="n">
        <v>173</v>
      </c>
      <c r="AB159" s="4" t="n">
        <v>41</v>
      </c>
      <c r="AC159" s="4" t="n">
        <v>51</v>
      </c>
      <c r="AD159" s="14" t="n">
        <v>4729.11</v>
      </c>
      <c r="AE159" s="9" t="n">
        <v>60.3</v>
      </c>
      <c r="AF159" s="14" t="n">
        <v>6187.5</v>
      </c>
      <c r="AG159" s="14" t="n">
        <v>9454.9</v>
      </c>
      <c r="AH159" s="4" t="s">
        <v>142</v>
      </c>
      <c r="AI159" s="4" t="s">
        <v>142</v>
      </c>
      <c r="AJ159" s="4"/>
    </row>
    <row r="160" customFormat="false" ht="15" hidden="false" customHeight="false" outlineLevel="0" collapsed="false">
      <c r="A160" s="4" t="s">
        <v>460</v>
      </c>
      <c r="B160" s="4" t="s">
        <v>461</v>
      </c>
      <c r="C160" s="4" t="s">
        <v>82</v>
      </c>
      <c r="D160" s="4" t="s">
        <v>60</v>
      </c>
      <c r="E160" s="4" t="s">
        <v>71</v>
      </c>
      <c r="F160" s="4" t="s">
        <v>289</v>
      </c>
      <c r="G160" s="4" t="s">
        <v>93</v>
      </c>
      <c r="H160" s="14" t="n">
        <v>49433.64</v>
      </c>
      <c r="I160" s="14"/>
      <c r="J160" s="15" t="n">
        <v>0.4</v>
      </c>
      <c r="K160" s="14" t="n">
        <v>4500</v>
      </c>
      <c r="L160" s="14"/>
      <c r="M160" s="16" t="n">
        <v>45925</v>
      </c>
      <c r="N160" s="16" t="n">
        <v>46223</v>
      </c>
      <c r="O160" s="16" t="n">
        <v>46260</v>
      </c>
      <c r="P160" s="16" t="n">
        <v>46272</v>
      </c>
      <c r="Q160" s="4"/>
      <c r="R160" s="4"/>
      <c r="S160" s="4"/>
      <c r="T160" s="4" t="n">
        <v>298</v>
      </c>
      <c r="U160" s="4" t="n">
        <v>37</v>
      </c>
      <c r="V160" s="4" t="n">
        <v>12</v>
      </c>
      <c r="W160" s="4"/>
      <c r="X160" s="4"/>
      <c r="Y160" s="4"/>
      <c r="Z160" s="4" t="n">
        <v>347</v>
      </c>
      <c r="AA160" s="4"/>
      <c r="AB160" s="4"/>
      <c r="AC160" s="4"/>
      <c r="AD160" s="14"/>
      <c r="AE160" s="9"/>
      <c r="AF160" s="14"/>
      <c r="AG160" s="14"/>
      <c r="AH160" s="4" t="s">
        <v>142</v>
      </c>
      <c r="AI160" s="4" t="s">
        <v>142</v>
      </c>
      <c r="AJ160" s="4"/>
    </row>
    <row r="161" customFormat="false" ht="15" hidden="false" customHeight="false" outlineLevel="0" collapsed="false">
      <c r="A161" s="4" t="s">
        <v>102</v>
      </c>
      <c r="B161" s="4" t="s">
        <v>103</v>
      </c>
      <c r="C161" s="4" t="s">
        <v>80</v>
      </c>
      <c r="D161" s="4" t="s">
        <v>61</v>
      </c>
      <c r="E161" s="4" t="s">
        <v>72</v>
      </c>
      <c r="F161" s="4" t="s">
        <v>289</v>
      </c>
      <c r="G161" s="4" t="s">
        <v>93</v>
      </c>
      <c r="H161" s="14" t="n">
        <v>7839.22</v>
      </c>
      <c r="I161" s="14"/>
      <c r="J161" s="15" t="n">
        <v>0.33</v>
      </c>
      <c r="K161" s="14" t="n">
        <v>2893.62</v>
      </c>
      <c r="L161" s="14"/>
      <c r="M161" s="16" t="n">
        <v>45926</v>
      </c>
      <c r="N161" s="16" t="n">
        <v>46183</v>
      </c>
      <c r="O161" s="16" t="n">
        <v>46220</v>
      </c>
      <c r="P161" s="16" t="n">
        <v>46251</v>
      </c>
      <c r="Q161" s="4"/>
      <c r="R161" s="4"/>
      <c r="S161" s="4"/>
      <c r="T161" s="4" t="n">
        <v>257</v>
      </c>
      <c r="U161" s="4" t="n">
        <v>37</v>
      </c>
      <c r="V161" s="4" t="n">
        <v>31</v>
      </c>
      <c r="W161" s="4"/>
      <c r="X161" s="4"/>
      <c r="Y161" s="4"/>
      <c r="Z161" s="4" t="n">
        <v>325</v>
      </c>
      <c r="AA161" s="4"/>
      <c r="AB161" s="4"/>
      <c r="AC161" s="4"/>
      <c r="AD161" s="14"/>
      <c r="AE161" s="9"/>
      <c r="AF161" s="14"/>
      <c r="AG161" s="14"/>
      <c r="AH161" s="4" t="s">
        <v>141</v>
      </c>
      <c r="AI161" s="4" t="s">
        <v>141</v>
      </c>
      <c r="AJ161" s="4" t="s">
        <v>94</v>
      </c>
    </row>
    <row r="162" customFormat="false" ht="15" hidden="false" customHeight="false" outlineLevel="0" collapsed="false">
      <c r="A162" s="4" t="s">
        <v>462</v>
      </c>
      <c r="B162" s="4" t="s">
        <v>463</v>
      </c>
      <c r="C162" s="4" t="s">
        <v>81</v>
      </c>
      <c r="D162" s="4" t="s">
        <v>62</v>
      </c>
      <c r="E162" s="4" t="s">
        <v>72</v>
      </c>
      <c r="F162" s="4" t="s">
        <v>139</v>
      </c>
      <c r="G162" s="4" t="s">
        <v>140</v>
      </c>
      <c r="H162" s="14" t="n">
        <v>18387.25</v>
      </c>
      <c r="I162" s="14" t="n">
        <v>30000</v>
      </c>
      <c r="J162" s="15" t="n">
        <v>0.33</v>
      </c>
      <c r="K162" s="14" t="n">
        <v>4308.65</v>
      </c>
      <c r="L162" s="14" t="n">
        <v>2904.92</v>
      </c>
      <c r="M162" s="16" t="n">
        <v>45927</v>
      </c>
      <c r="N162" s="16" t="n">
        <v>46047</v>
      </c>
      <c r="O162" s="16" t="n">
        <v>46067</v>
      </c>
      <c r="P162" s="16" t="n">
        <v>46082</v>
      </c>
      <c r="Q162" s="16" t="n">
        <v>46106</v>
      </c>
      <c r="R162" s="16" t="n">
        <v>46142</v>
      </c>
      <c r="S162" s="16" t="n">
        <v>46169</v>
      </c>
      <c r="T162" s="4" t="n">
        <v>120</v>
      </c>
      <c r="U162" s="4" t="n">
        <v>20</v>
      </c>
      <c r="V162" s="4" t="n">
        <v>15</v>
      </c>
      <c r="W162" s="4" t="n">
        <v>24</v>
      </c>
      <c r="X162" s="4" t="n">
        <v>36</v>
      </c>
      <c r="Y162" s="4" t="n">
        <v>27</v>
      </c>
      <c r="Z162" s="4" t="n">
        <v>155</v>
      </c>
      <c r="AA162" s="4" t="n">
        <v>242</v>
      </c>
      <c r="AB162" s="4" t="n">
        <v>42</v>
      </c>
      <c r="AC162" s="4" t="n">
        <v>44</v>
      </c>
      <c r="AD162" s="14" t="n">
        <v>1403.73</v>
      </c>
      <c r="AE162" s="9" t="n">
        <v>32.6</v>
      </c>
      <c r="AF162" s="14" t="n">
        <v>9900</v>
      </c>
      <c r="AG162" s="14" t="n">
        <v>17195.08</v>
      </c>
      <c r="AH162" s="4" t="s">
        <v>142</v>
      </c>
      <c r="AI162" s="4" t="s">
        <v>142</v>
      </c>
      <c r="AJ162" s="4"/>
    </row>
    <row r="163" customFormat="false" ht="15" hidden="false" customHeight="false" outlineLevel="0" collapsed="false">
      <c r="A163" s="4" t="s">
        <v>464</v>
      </c>
      <c r="B163" s="4" t="s">
        <v>465</v>
      </c>
      <c r="C163" s="4" t="s">
        <v>80</v>
      </c>
      <c r="D163" s="4" t="s">
        <v>63</v>
      </c>
      <c r="E163" s="4" t="s">
        <v>70</v>
      </c>
      <c r="F163" s="4" t="s">
        <v>139</v>
      </c>
      <c r="G163" s="4" t="s">
        <v>140</v>
      </c>
      <c r="H163" s="14" t="n">
        <v>15000.54</v>
      </c>
      <c r="I163" s="14" t="n">
        <v>25000</v>
      </c>
      <c r="J163" s="15" t="n">
        <v>0.33</v>
      </c>
      <c r="K163" s="14" t="n">
        <v>2985.43</v>
      </c>
      <c r="L163" s="14" t="n">
        <v>1695.99</v>
      </c>
      <c r="M163" s="16" t="n">
        <v>45927</v>
      </c>
      <c r="N163" s="16" t="n">
        <v>46142</v>
      </c>
      <c r="O163" s="16" t="n">
        <v>46149</v>
      </c>
      <c r="P163" s="16" t="n">
        <v>46159</v>
      </c>
      <c r="Q163" s="16" t="n">
        <v>46195</v>
      </c>
      <c r="R163" s="16" t="n">
        <v>46218</v>
      </c>
      <c r="S163" s="16" t="n">
        <v>46239</v>
      </c>
      <c r="T163" s="4" t="n">
        <v>215</v>
      </c>
      <c r="U163" s="4" t="n">
        <v>7</v>
      </c>
      <c r="V163" s="4" t="n">
        <v>10</v>
      </c>
      <c r="W163" s="4" t="n">
        <v>36</v>
      </c>
      <c r="X163" s="4" t="n">
        <v>23</v>
      </c>
      <c r="Y163" s="4" t="n">
        <v>21</v>
      </c>
      <c r="Z163" s="4" t="n">
        <v>232</v>
      </c>
      <c r="AA163" s="4" t="n">
        <v>312</v>
      </c>
      <c r="AB163" s="4" t="n">
        <v>31</v>
      </c>
      <c r="AC163" s="4" t="n">
        <v>43</v>
      </c>
      <c r="AD163" s="14" t="n">
        <v>1289.44</v>
      </c>
      <c r="AE163" s="9" t="n">
        <v>43.2</v>
      </c>
      <c r="AF163" s="14" t="n">
        <v>8250</v>
      </c>
      <c r="AG163" s="14" t="n">
        <v>15054.01</v>
      </c>
      <c r="AH163" s="4" t="s">
        <v>142</v>
      </c>
      <c r="AI163" s="4" t="s">
        <v>142</v>
      </c>
      <c r="AJ163" s="4"/>
    </row>
    <row r="164" customFormat="false" ht="15" hidden="false" customHeight="false" outlineLevel="0" collapsed="false">
      <c r="A164" s="4" t="s">
        <v>466</v>
      </c>
      <c r="B164" s="4" t="s">
        <v>467</v>
      </c>
      <c r="C164" s="4" t="s">
        <v>80</v>
      </c>
      <c r="D164" s="4" t="s">
        <v>59</v>
      </c>
      <c r="E164" s="4" t="s">
        <v>70</v>
      </c>
      <c r="F164" s="4" t="s">
        <v>139</v>
      </c>
      <c r="G164" s="4" t="s">
        <v>140</v>
      </c>
      <c r="H164" s="14" t="n">
        <v>20182.49</v>
      </c>
      <c r="I164" s="14" t="n">
        <v>25000</v>
      </c>
      <c r="J164" s="15" t="n">
        <v>0.33</v>
      </c>
      <c r="K164" s="14" t="n">
        <v>3350.67</v>
      </c>
      <c r="L164" s="14" t="n">
        <v>2570.72</v>
      </c>
      <c r="M164" s="16" t="n">
        <v>45930</v>
      </c>
      <c r="N164" s="16" t="n">
        <v>46117</v>
      </c>
      <c r="O164" s="16" t="n">
        <v>46142</v>
      </c>
      <c r="P164" s="16" t="n">
        <v>46175</v>
      </c>
      <c r="Q164" s="16" t="n">
        <v>46261</v>
      </c>
      <c r="R164" s="16" t="n">
        <v>46271</v>
      </c>
      <c r="S164" s="16" t="n">
        <v>46295</v>
      </c>
      <c r="T164" s="4" t="n">
        <v>187</v>
      </c>
      <c r="U164" s="4" t="n">
        <v>25</v>
      </c>
      <c r="V164" s="4" t="n">
        <v>33</v>
      </c>
      <c r="W164" s="4" t="n">
        <v>86</v>
      </c>
      <c r="X164" s="4" t="n">
        <v>10</v>
      </c>
      <c r="Y164" s="4" t="n">
        <v>24</v>
      </c>
      <c r="Z164" s="4" t="n">
        <v>245</v>
      </c>
      <c r="AA164" s="4" t="n">
        <v>365</v>
      </c>
      <c r="AB164" s="4" t="n">
        <v>57</v>
      </c>
      <c r="AC164" s="4" t="n">
        <v>111</v>
      </c>
      <c r="AD164" s="14" t="n">
        <v>779.95</v>
      </c>
      <c r="AE164" s="9" t="n">
        <v>23.3</v>
      </c>
      <c r="AF164" s="14" t="n">
        <v>8250</v>
      </c>
      <c r="AG164" s="14" t="n">
        <v>14179.28</v>
      </c>
      <c r="AH164" s="4" t="s">
        <v>141</v>
      </c>
      <c r="AI164" s="4" t="s">
        <v>142</v>
      </c>
      <c r="AJ164" s="4" t="s">
        <v>94</v>
      </c>
    </row>
    <row r="165" customFormat="false" ht="15" hidden="false" customHeight="false" outlineLevel="0" collapsed="false">
      <c r="A165" s="4" t="s">
        <v>468</v>
      </c>
      <c r="B165" s="4" t="s">
        <v>469</v>
      </c>
      <c r="C165" s="4" t="s">
        <v>80</v>
      </c>
      <c r="D165" s="4" t="s">
        <v>63</v>
      </c>
      <c r="E165" s="4" t="s">
        <v>70</v>
      </c>
      <c r="F165" s="4" t="s">
        <v>139</v>
      </c>
      <c r="G165" s="4" t="s">
        <v>140</v>
      </c>
      <c r="H165" s="14" t="n">
        <v>14469.96</v>
      </c>
      <c r="I165" s="14" t="n">
        <v>33750</v>
      </c>
      <c r="J165" s="15" t="n">
        <v>0.33</v>
      </c>
      <c r="K165" s="14" t="n">
        <v>6200.64</v>
      </c>
      <c r="L165" s="14" t="n">
        <v>2896.99</v>
      </c>
      <c r="M165" s="16" t="n">
        <v>45939</v>
      </c>
      <c r="N165" s="16" t="n">
        <v>46007</v>
      </c>
      <c r="O165" s="16" t="n">
        <v>46017</v>
      </c>
      <c r="P165" s="16" t="n">
        <v>46026</v>
      </c>
      <c r="Q165" s="16" t="n">
        <v>46065</v>
      </c>
      <c r="R165" s="16" t="n">
        <v>46110</v>
      </c>
      <c r="S165" s="16" t="n">
        <v>46133</v>
      </c>
      <c r="T165" s="4" t="n">
        <v>68</v>
      </c>
      <c r="U165" s="4" t="n">
        <v>10</v>
      </c>
      <c r="V165" s="4" t="n">
        <v>9</v>
      </c>
      <c r="W165" s="4" t="n">
        <v>39</v>
      </c>
      <c r="X165" s="4" t="n">
        <v>45</v>
      </c>
      <c r="Y165" s="4" t="n">
        <v>23</v>
      </c>
      <c r="Z165" s="4" t="n">
        <v>87</v>
      </c>
      <c r="AA165" s="4" t="n">
        <v>194</v>
      </c>
      <c r="AB165" s="4" t="n">
        <v>32</v>
      </c>
      <c r="AC165" s="4" t="n">
        <v>49</v>
      </c>
      <c r="AD165" s="14" t="n">
        <v>3303.65</v>
      </c>
      <c r="AE165" s="9" t="n">
        <v>53.3</v>
      </c>
      <c r="AF165" s="14" t="n">
        <v>11137.5</v>
      </c>
      <c r="AG165" s="14" t="n">
        <v>19715.51</v>
      </c>
      <c r="AH165" s="4" t="s">
        <v>142</v>
      </c>
      <c r="AI165" s="4" t="s">
        <v>142</v>
      </c>
      <c r="AJ165" s="4"/>
    </row>
    <row r="166" customFormat="false" ht="15" hidden="false" customHeight="false" outlineLevel="0" collapsed="false">
      <c r="A166" s="4" t="s">
        <v>470</v>
      </c>
      <c r="B166" s="4" t="s">
        <v>471</v>
      </c>
      <c r="C166" s="4" t="s">
        <v>80</v>
      </c>
      <c r="D166" s="4" t="s">
        <v>63</v>
      </c>
      <c r="E166" s="4" t="s">
        <v>74</v>
      </c>
      <c r="F166" s="4" t="s">
        <v>289</v>
      </c>
      <c r="G166" s="4" t="s">
        <v>357</v>
      </c>
      <c r="H166" s="14" t="n">
        <v>45011.05</v>
      </c>
      <c r="I166" s="14" t="n">
        <v>97500</v>
      </c>
      <c r="J166" s="15" t="n">
        <v>0.33</v>
      </c>
      <c r="K166" s="14" t="n">
        <v>10347.12</v>
      </c>
      <c r="L166" s="14"/>
      <c r="M166" s="16" t="n">
        <v>45939</v>
      </c>
      <c r="N166" s="16" t="n">
        <v>46170</v>
      </c>
      <c r="O166" s="16" t="n">
        <v>46187</v>
      </c>
      <c r="P166" s="16" t="n">
        <v>46196</v>
      </c>
      <c r="Q166" s="16" t="n">
        <v>46244</v>
      </c>
      <c r="R166" s="16" t="n">
        <v>46276</v>
      </c>
      <c r="S166" s="4"/>
      <c r="T166" s="4" t="n">
        <v>231</v>
      </c>
      <c r="U166" s="4" t="n">
        <v>17</v>
      </c>
      <c r="V166" s="4" t="n">
        <v>9</v>
      </c>
      <c r="W166" s="4" t="n">
        <v>48</v>
      </c>
      <c r="X166" s="4" t="n">
        <v>32</v>
      </c>
      <c r="Y166" s="4"/>
      <c r="Z166" s="4" t="n">
        <v>257</v>
      </c>
      <c r="AA166" s="4"/>
      <c r="AB166" s="4"/>
      <c r="AC166" s="4" t="n">
        <v>65</v>
      </c>
      <c r="AD166" s="14"/>
      <c r="AE166" s="9"/>
      <c r="AF166" s="14" t="n">
        <v>32175</v>
      </c>
      <c r="AG166" s="14"/>
      <c r="AH166" s="4" t="s">
        <v>141</v>
      </c>
      <c r="AI166" s="4" t="s">
        <v>142</v>
      </c>
      <c r="AJ166" s="4" t="s">
        <v>94</v>
      </c>
    </row>
    <row r="167" customFormat="false" ht="15" hidden="false" customHeight="false" outlineLevel="0" collapsed="false">
      <c r="A167" s="4" t="s">
        <v>472</v>
      </c>
      <c r="B167" s="4" t="s">
        <v>473</v>
      </c>
      <c r="C167" s="4" t="s">
        <v>80</v>
      </c>
      <c r="D167" s="4" t="s">
        <v>61</v>
      </c>
      <c r="E167" s="4" t="s">
        <v>70</v>
      </c>
      <c r="F167" s="4" t="s">
        <v>139</v>
      </c>
      <c r="G167" s="4" t="s">
        <v>140</v>
      </c>
      <c r="H167" s="14" t="n">
        <v>11866.74</v>
      </c>
      <c r="I167" s="14" t="n">
        <v>18250</v>
      </c>
      <c r="J167" s="15" t="n">
        <v>0.33</v>
      </c>
      <c r="K167" s="14" t="n">
        <v>1316.85</v>
      </c>
      <c r="L167" s="14" t="n">
        <v>507.39</v>
      </c>
      <c r="M167" s="16" t="n">
        <v>45948</v>
      </c>
      <c r="N167" s="16" t="n">
        <v>46140</v>
      </c>
      <c r="O167" s="16" t="n">
        <v>46164</v>
      </c>
      <c r="P167" s="16" t="n">
        <v>46179</v>
      </c>
      <c r="Q167" s="16" t="n">
        <v>46202</v>
      </c>
      <c r="R167" s="16" t="n">
        <v>46228</v>
      </c>
      <c r="S167" s="16" t="n">
        <v>46250</v>
      </c>
      <c r="T167" s="4" t="n">
        <v>192</v>
      </c>
      <c r="U167" s="4" t="n">
        <v>24</v>
      </c>
      <c r="V167" s="4" t="n">
        <v>15</v>
      </c>
      <c r="W167" s="4" t="n">
        <v>23</v>
      </c>
      <c r="X167" s="4" t="n">
        <v>26</v>
      </c>
      <c r="Y167" s="4" t="n">
        <v>22</v>
      </c>
      <c r="Z167" s="4" t="n">
        <v>231</v>
      </c>
      <c r="AA167" s="4" t="n">
        <v>302</v>
      </c>
      <c r="AB167" s="4" t="n">
        <v>37</v>
      </c>
      <c r="AC167" s="4" t="n">
        <v>47</v>
      </c>
      <c r="AD167" s="14" t="n">
        <v>809.46</v>
      </c>
      <c r="AE167" s="9" t="n">
        <v>61.5</v>
      </c>
      <c r="AF167" s="14" t="n">
        <v>6022.5</v>
      </c>
      <c r="AG167" s="14" t="n">
        <v>11720.11</v>
      </c>
      <c r="AH167" s="4" t="s">
        <v>142</v>
      </c>
      <c r="AI167" s="4" t="s">
        <v>142</v>
      </c>
      <c r="AJ167" s="4"/>
    </row>
    <row r="168" customFormat="false" ht="15" hidden="false" customHeight="false" outlineLevel="0" collapsed="false">
      <c r="A168" s="4" t="s">
        <v>474</v>
      </c>
      <c r="B168" s="4" t="s">
        <v>475</v>
      </c>
      <c r="C168" s="4" t="s">
        <v>80</v>
      </c>
      <c r="D168" s="4" t="s">
        <v>62</v>
      </c>
      <c r="E168" s="4" t="s">
        <v>74</v>
      </c>
      <c r="F168" s="4" t="s">
        <v>139</v>
      </c>
      <c r="G168" s="4" t="s">
        <v>140</v>
      </c>
      <c r="H168" s="14" t="n">
        <v>3909.97</v>
      </c>
      <c r="I168" s="14" t="n">
        <v>8250</v>
      </c>
      <c r="J168" s="15" t="n">
        <v>0.33</v>
      </c>
      <c r="K168" s="14" t="n">
        <v>3202.89</v>
      </c>
      <c r="L168" s="14" t="n">
        <v>1837.25</v>
      </c>
      <c r="M168" s="16" t="n">
        <v>45949</v>
      </c>
      <c r="N168" s="16" t="n">
        <v>46101</v>
      </c>
      <c r="O168" s="16" t="n">
        <v>46124</v>
      </c>
      <c r="P168" s="16" t="n">
        <v>46138</v>
      </c>
      <c r="Q168" s="16" t="n">
        <v>46167</v>
      </c>
      <c r="R168" s="16" t="n">
        <v>46208</v>
      </c>
      <c r="S168" s="16" t="n">
        <v>46259</v>
      </c>
      <c r="T168" s="4" t="n">
        <v>152</v>
      </c>
      <c r="U168" s="4" t="n">
        <v>23</v>
      </c>
      <c r="V168" s="4" t="n">
        <v>14</v>
      </c>
      <c r="W168" s="4" t="n">
        <v>29</v>
      </c>
      <c r="X168" s="4" t="n">
        <v>41</v>
      </c>
      <c r="Y168" s="4" t="n">
        <v>51</v>
      </c>
      <c r="Z168" s="4" t="n">
        <v>189</v>
      </c>
      <c r="AA168" s="4" t="n">
        <v>310</v>
      </c>
      <c r="AB168" s="4" t="n">
        <v>65</v>
      </c>
      <c r="AC168" s="4" t="n">
        <v>52</v>
      </c>
      <c r="AD168" s="14" t="n">
        <v>1365.64</v>
      </c>
      <c r="AE168" s="9" t="n">
        <v>42.6</v>
      </c>
      <c r="AF168" s="14" t="n">
        <v>2722.5</v>
      </c>
      <c r="AG168" s="14" t="n">
        <v>3690.25</v>
      </c>
      <c r="AH168" s="4" t="s">
        <v>142</v>
      </c>
      <c r="AI168" s="4" t="s">
        <v>142</v>
      </c>
      <c r="AJ168" s="4"/>
    </row>
    <row r="169" customFormat="false" ht="15" hidden="false" customHeight="false" outlineLevel="0" collapsed="false">
      <c r="A169" s="4" t="s">
        <v>476</v>
      </c>
      <c r="B169" s="4" t="s">
        <v>477</v>
      </c>
      <c r="C169" s="4" t="s">
        <v>80</v>
      </c>
      <c r="D169" s="4" t="s">
        <v>60</v>
      </c>
      <c r="E169" s="4" t="s">
        <v>74</v>
      </c>
      <c r="F169" s="4" t="s">
        <v>139</v>
      </c>
      <c r="G169" s="4" t="s">
        <v>140</v>
      </c>
      <c r="H169" s="14" t="n">
        <v>26710.35</v>
      </c>
      <c r="I169" s="14" t="n">
        <v>52500</v>
      </c>
      <c r="J169" s="15" t="n">
        <v>0.33</v>
      </c>
      <c r="K169" s="14" t="n">
        <v>9568.84</v>
      </c>
      <c r="L169" s="14" t="n">
        <v>5509.62</v>
      </c>
      <c r="M169" s="16" t="n">
        <v>45953</v>
      </c>
      <c r="N169" s="16" t="n">
        <v>46085</v>
      </c>
      <c r="O169" s="16" t="n">
        <v>46117</v>
      </c>
      <c r="P169" s="16" t="n">
        <v>46137</v>
      </c>
      <c r="Q169" s="16" t="n">
        <v>46161</v>
      </c>
      <c r="R169" s="16" t="n">
        <v>46186</v>
      </c>
      <c r="S169" s="16" t="n">
        <v>46225</v>
      </c>
      <c r="T169" s="4" t="n">
        <v>132</v>
      </c>
      <c r="U169" s="4" t="n">
        <v>32</v>
      </c>
      <c r="V169" s="4" t="n">
        <v>20</v>
      </c>
      <c r="W169" s="4" t="n">
        <v>24</v>
      </c>
      <c r="X169" s="4" t="n">
        <v>25</v>
      </c>
      <c r="Y169" s="4" t="n">
        <v>39</v>
      </c>
      <c r="Z169" s="4" t="n">
        <v>184</v>
      </c>
      <c r="AA169" s="4" t="n">
        <v>272</v>
      </c>
      <c r="AB169" s="4" t="n">
        <v>59</v>
      </c>
      <c r="AC169" s="4" t="n">
        <v>56</v>
      </c>
      <c r="AD169" s="14" t="n">
        <v>4059.22</v>
      </c>
      <c r="AE169" s="9" t="n">
        <v>42.4</v>
      </c>
      <c r="AF169" s="14" t="n">
        <v>17325</v>
      </c>
      <c r="AG169" s="14" t="n">
        <v>29665.38</v>
      </c>
      <c r="AH169" s="4" t="s">
        <v>142</v>
      </c>
      <c r="AI169" s="4" t="s">
        <v>142</v>
      </c>
      <c r="AJ169" s="4"/>
    </row>
    <row r="170" customFormat="false" ht="15" hidden="false" customHeight="false" outlineLevel="0" collapsed="false">
      <c r="A170" s="4" t="s">
        <v>478</v>
      </c>
      <c r="B170" s="4" t="s">
        <v>479</v>
      </c>
      <c r="C170" s="4" t="s">
        <v>80</v>
      </c>
      <c r="D170" s="4" t="s">
        <v>63</v>
      </c>
      <c r="E170" s="4" t="s">
        <v>70</v>
      </c>
      <c r="F170" s="4" t="s">
        <v>139</v>
      </c>
      <c r="G170" s="4" t="s">
        <v>140</v>
      </c>
      <c r="H170" s="14" t="n">
        <v>7902.82</v>
      </c>
      <c r="I170" s="14" t="n">
        <v>18750</v>
      </c>
      <c r="J170" s="15" t="n">
        <v>0.33</v>
      </c>
      <c r="K170" s="14" t="n">
        <v>2657.1</v>
      </c>
      <c r="L170" s="14" t="n">
        <v>1213.37</v>
      </c>
      <c r="M170" s="16" t="n">
        <v>45955</v>
      </c>
      <c r="N170" s="16" t="n">
        <v>46108</v>
      </c>
      <c r="O170" s="16" t="n">
        <v>46132</v>
      </c>
      <c r="P170" s="16" t="n">
        <v>46143</v>
      </c>
      <c r="Q170" s="16" t="n">
        <v>46168</v>
      </c>
      <c r="R170" s="16" t="n">
        <v>46213</v>
      </c>
      <c r="S170" s="16" t="n">
        <v>46240</v>
      </c>
      <c r="T170" s="4" t="n">
        <v>153</v>
      </c>
      <c r="U170" s="4" t="n">
        <v>24</v>
      </c>
      <c r="V170" s="4" t="n">
        <v>11</v>
      </c>
      <c r="W170" s="4" t="n">
        <v>25</v>
      </c>
      <c r="X170" s="4" t="n">
        <v>45</v>
      </c>
      <c r="Y170" s="4" t="n">
        <v>27</v>
      </c>
      <c r="Z170" s="4" t="n">
        <v>188</v>
      </c>
      <c r="AA170" s="4" t="n">
        <v>285</v>
      </c>
      <c r="AB170" s="4" t="n">
        <v>38</v>
      </c>
      <c r="AC170" s="4" t="n">
        <v>49</v>
      </c>
      <c r="AD170" s="14" t="n">
        <v>1443.73</v>
      </c>
      <c r="AE170" s="9" t="n">
        <v>54.3</v>
      </c>
      <c r="AF170" s="14" t="n">
        <v>6187.5</v>
      </c>
      <c r="AG170" s="14" t="n">
        <v>11349.13</v>
      </c>
      <c r="AH170" s="4" t="s">
        <v>142</v>
      </c>
      <c r="AI170" s="4" t="s">
        <v>142</v>
      </c>
      <c r="AJ170" s="4"/>
    </row>
    <row r="171" customFormat="false" ht="15" hidden="false" customHeight="false" outlineLevel="0" collapsed="false">
      <c r="A171" s="4" t="s">
        <v>480</v>
      </c>
      <c r="B171" s="4" t="s">
        <v>481</v>
      </c>
      <c r="C171" s="4" t="s">
        <v>80</v>
      </c>
      <c r="D171" s="4" t="s">
        <v>59</v>
      </c>
      <c r="E171" s="4" t="s">
        <v>72</v>
      </c>
      <c r="F171" s="4" t="s">
        <v>139</v>
      </c>
      <c r="G171" s="4" t="s">
        <v>140</v>
      </c>
      <c r="H171" s="14" t="n">
        <v>37787.81</v>
      </c>
      <c r="I171" s="14" t="n">
        <v>57000</v>
      </c>
      <c r="J171" s="15" t="n">
        <v>0.33</v>
      </c>
      <c r="K171" s="14" t="n">
        <v>17100</v>
      </c>
      <c r="L171" s="14" t="n">
        <v>16599.4</v>
      </c>
      <c r="M171" s="16" t="n">
        <v>45955</v>
      </c>
      <c r="N171" s="16" t="n">
        <v>46048</v>
      </c>
      <c r="O171" s="16" t="n">
        <v>46067</v>
      </c>
      <c r="P171" s="16" t="n">
        <v>46079</v>
      </c>
      <c r="Q171" s="16" t="n">
        <v>46104</v>
      </c>
      <c r="R171" s="16" t="n">
        <v>46133</v>
      </c>
      <c r="S171" s="16" t="n">
        <v>46176</v>
      </c>
      <c r="T171" s="4" t="n">
        <v>93</v>
      </c>
      <c r="U171" s="4" t="n">
        <v>19</v>
      </c>
      <c r="V171" s="4" t="n">
        <v>12</v>
      </c>
      <c r="W171" s="4" t="n">
        <v>25</v>
      </c>
      <c r="X171" s="4" t="n">
        <v>29</v>
      </c>
      <c r="Y171" s="4" t="n">
        <v>43</v>
      </c>
      <c r="Z171" s="4" t="n">
        <v>124</v>
      </c>
      <c r="AA171" s="4" t="n">
        <v>221</v>
      </c>
      <c r="AB171" s="4" t="n">
        <v>55</v>
      </c>
      <c r="AC171" s="4" t="n">
        <v>44</v>
      </c>
      <c r="AD171" s="14" t="n">
        <v>500.6</v>
      </c>
      <c r="AE171" s="9" t="n">
        <v>2.9</v>
      </c>
      <c r="AF171" s="14" t="n">
        <v>18810</v>
      </c>
      <c r="AG171" s="14" t="n">
        <v>21590.6</v>
      </c>
      <c r="AH171" s="4" t="s">
        <v>142</v>
      </c>
      <c r="AI171" s="4" t="s">
        <v>142</v>
      </c>
      <c r="AJ171" s="4"/>
    </row>
    <row r="172" customFormat="false" ht="15" hidden="false" customHeight="false" outlineLevel="0" collapsed="false">
      <c r="A172" s="4" t="s">
        <v>482</v>
      </c>
      <c r="B172" s="4" t="s">
        <v>483</v>
      </c>
      <c r="C172" s="4" t="s">
        <v>80</v>
      </c>
      <c r="D172" s="4" t="s">
        <v>59</v>
      </c>
      <c r="E172" s="4" t="s">
        <v>71</v>
      </c>
      <c r="F172" s="4" t="s">
        <v>139</v>
      </c>
      <c r="G172" s="4" t="s">
        <v>140</v>
      </c>
      <c r="H172" s="14" t="n">
        <v>26831.23</v>
      </c>
      <c r="I172" s="14" t="n">
        <v>15000</v>
      </c>
      <c r="J172" s="15" t="n">
        <v>0.33</v>
      </c>
      <c r="K172" s="14" t="n">
        <v>5835.77</v>
      </c>
      <c r="L172" s="14" t="n">
        <v>4350.94</v>
      </c>
      <c r="M172" s="16" t="n">
        <v>45959</v>
      </c>
      <c r="N172" s="16" t="n">
        <v>46087</v>
      </c>
      <c r="O172" s="16" t="n">
        <v>46102</v>
      </c>
      <c r="P172" s="16" t="n">
        <v>46112</v>
      </c>
      <c r="Q172" s="16" t="n">
        <v>46181</v>
      </c>
      <c r="R172" s="16" t="n">
        <v>46207</v>
      </c>
      <c r="S172" s="16" t="n">
        <v>46227</v>
      </c>
      <c r="T172" s="4" t="n">
        <v>128</v>
      </c>
      <c r="U172" s="4" t="n">
        <v>15</v>
      </c>
      <c r="V172" s="4" t="n">
        <v>10</v>
      </c>
      <c r="W172" s="4" t="n">
        <v>69</v>
      </c>
      <c r="X172" s="4" t="n">
        <v>26</v>
      </c>
      <c r="Y172" s="4" t="n">
        <v>20</v>
      </c>
      <c r="Z172" s="4" t="n">
        <v>153</v>
      </c>
      <c r="AA172" s="4" t="n">
        <v>268</v>
      </c>
      <c r="AB172" s="4" t="n">
        <v>30</v>
      </c>
      <c r="AC172" s="4" t="n">
        <v>84</v>
      </c>
      <c r="AD172" s="14" t="n">
        <v>1484.83</v>
      </c>
      <c r="AE172" s="9" t="n">
        <v>25.4</v>
      </c>
      <c r="AF172" s="14" t="n">
        <v>4950</v>
      </c>
      <c r="AG172" s="14" t="n">
        <v>5699.06</v>
      </c>
      <c r="AH172" s="4" t="s">
        <v>141</v>
      </c>
      <c r="AI172" s="4" t="s">
        <v>142</v>
      </c>
      <c r="AJ172" s="4" t="s">
        <v>94</v>
      </c>
    </row>
    <row r="173" customFormat="false" ht="15" hidden="false" customHeight="false" outlineLevel="0" collapsed="false">
      <c r="A173" s="4" t="s">
        <v>484</v>
      </c>
      <c r="B173" s="4" t="s">
        <v>485</v>
      </c>
      <c r="C173" s="4" t="s">
        <v>81</v>
      </c>
      <c r="D173" s="4" t="s">
        <v>60</v>
      </c>
      <c r="E173" s="4" t="s">
        <v>74</v>
      </c>
      <c r="F173" s="4" t="s">
        <v>139</v>
      </c>
      <c r="G173" s="4" t="s">
        <v>140</v>
      </c>
      <c r="H173" s="14" t="n">
        <v>20595.28</v>
      </c>
      <c r="I173" s="14" t="n">
        <v>24500</v>
      </c>
      <c r="J173" s="15" t="n">
        <v>0.33</v>
      </c>
      <c r="K173" s="14" t="n">
        <v>6538.52</v>
      </c>
      <c r="L173" s="14" t="n">
        <v>3538.49</v>
      </c>
      <c r="M173" s="16" t="n">
        <v>45960</v>
      </c>
      <c r="N173" s="16" t="n">
        <v>46101</v>
      </c>
      <c r="O173" s="16" t="n">
        <v>46174</v>
      </c>
      <c r="P173" s="16" t="n">
        <v>46188</v>
      </c>
      <c r="Q173" s="16" t="n">
        <v>46225</v>
      </c>
      <c r="R173" s="16" t="n">
        <v>46257</v>
      </c>
      <c r="S173" s="16" t="n">
        <v>46296</v>
      </c>
      <c r="T173" s="4" t="n">
        <v>141</v>
      </c>
      <c r="U173" s="4" t="n">
        <v>73</v>
      </c>
      <c r="V173" s="4" t="n">
        <v>14</v>
      </c>
      <c r="W173" s="4" t="n">
        <v>37</v>
      </c>
      <c r="X173" s="4" t="n">
        <v>32</v>
      </c>
      <c r="Y173" s="4" t="n">
        <v>39</v>
      </c>
      <c r="Z173" s="4" t="n">
        <v>228</v>
      </c>
      <c r="AA173" s="4" t="n">
        <v>336</v>
      </c>
      <c r="AB173" s="4" t="n">
        <v>53</v>
      </c>
      <c r="AC173" s="4" t="n">
        <v>110</v>
      </c>
      <c r="AD173" s="14" t="n">
        <v>3000.03</v>
      </c>
      <c r="AE173" s="9" t="n">
        <v>45.9</v>
      </c>
      <c r="AF173" s="14" t="n">
        <v>8085</v>
      </c>
      <c r="AG173" s="14" t="n">
        <v>12876.51</v>
      </c>
      <c r="AH173" s="4" t="s">
        <v>141</v>
      </c>
      <c r="AI173" s="4" t="s">
        <v>142</v>
      </c>
      <c r="AJ173" s="4" t="s">
        <v>98</v>
      </c>
    </row>
    <row r="174" customFormat="false" ht="15" hidden="false" customHeight="false" outlineLevel="0" collapsed="false">
      <c r="A174" s="4" t="s">
        <v>486</v>
      </c>
      <c r="B174" s="4" t="s">
        <v>487</v>
      </c>
      <c r="C174" s="4" t="s">
        <v>81</v>
      </c>
      <c r="D174" s="4" t="s">
        <v>59</v>
      </c>
      <c r="E174" s="4" t="s">
        <v>73</v>
      </c>
      <c r="F174" s="4" t="s">
        <v>139</v>
      </c>
      <c r="G174" s="4" t="s">
        <v>140</v>
      </c>
      <c r="H174" s="14" t="n">
        <v>16658.79</v>
      </c>
      <c r="I174" s="14" t="n">
        <v>56000</v>
      </c>
      <c r="J174" s="15" t="n">
        <v>0.33</v>
      </c>
      <c r="K174" s="14" t="n">
        <v>2378.19</v>
      </c>
      <c r="L174" s="14" t="n">
        <v>1609.04</v>
      </c>
      <c r="M174" s="16" t="n">
        <v>45962</v>
      </c>
      <c r="N174" s="16" t="n">
        <v>46041</v>
      </c>
      <c r="O174" s="16" t="n">
        <v>46065</v>
      </c>
      <c r="P174" s="16" t="n">
        <v>46082</v>
      </c>
      <c r="Q174" s="16" t="n">
        <v>46122</v>
      </c>
      <c r="R174" s="16" t="n">
        <v>46144</v>
      </c>
      <c r="S174" s="16" t="n">
        <v>46164</v>
      </c>
      <c r="T174" s="4" t="n">
        <v>79</v>
      </c>
      <c r="U174" s="4" t="n">
        <v>24</v>
      </c>
      <c r="V174" s="4" t="n">
        <v>17</v>
      </c>
      <c r="W174" s="4" t="n">
        <v>40</v>
      </c>
      <c r="X174" s="4" t="n">
        <v>22</v>
      </c>
      <c r="Y174" s="4" t="n">
        <v>20</v>
      </c>
      <c r="Z174" s="4" t="n">
        <v>120</v>
      </c>
      <c r="AA174" s="4" t="n">
        <v>202</v>
      </c>
      <c r="AB174" s="4" t="n">
        <v>37</v>
      </c>
      <c r="AC174" s="4" t="n">
        <v>64</v>
      </c>
      <c r="AD174" s="14" t="n">
        <v>769.15</v>
      </c>
      <c r="AE174" s="9" t="n">
        <v>32.3</v>
      </c>
      <c r="AF174" s="14" t="n">
        <v>18480</v>
      </c>
      <c r="AG174" s="14" t="n">
        <v>35910.96</v>
      </c>
      <c r="AH174" s="4" t="s">
        <v>142</v>
      </c>
      <c r="AI174" s="4" t="s">
        <v>142</v>
      </c>
      <c r="AJ174" s="4"/>
    </row>
    <row r="175" customFormat="false" ht="15" hidden="false" customHeight="false" outlineLevel="0" collapsed="false">
      <c r="A175" s="4" t="s">
        <v>488</v>
      </c>
      <c r="B175" s="4" t="s">
        <v>489</v>
      </c>
      <c r="C175" s="4" t="s">
        <v>80</v>
      </c>
      <c r="D175" s="4" t="s">
        <v>61</v>
      </c>
      <c r="E175" s="4" t="s">
        <v>70</v>
      </c>
      <c r="F175" s="4" t="s">
        <v>139</v>
      </c>
      <c r="G175" s="4" t="s">
        <v>140</v>
      </c>
      <c r="H175" s="14" t="n">
        <v>5338.47</v>
      </c>
      <c r="I175" s="14" t="n">
        <v>8250</v>
      </c>
      <c r="J175" s="15" t="n">
        <v>0.33</v>
      </c>
      <c r="K175" s="14" t="n">
        <v>1880.56</v>
      </c>
      <c r="L175" s="14" t="n">
        <v>1279</v>
      </c>
      <c r="M175" s="16" t="n">
        <v>45963</v>
      </c>
      <c r="N175" s="16" t="n">
        <v>46032</v>
      </c>
      <c r="O175" s="16" t="n">
        <v>46041</v>
      </c>
      <c r="P175" s="16" t="n">
        <v>46051</v>
      </c>
      <c r="Q175" s="16" t="n">
        <v>46074</v>
      </c>
      <c r="R175" s="16" t="n">
        <v>46123</v>
      </c>
      <c r="S175" s="16" t="n">
        <v>46145</v>
      </c>
      <c r="T175" s="4" t="n">
        <v>69</v>
      </c>
      <c r="U175" s="4" t="n">
        <v>9</v>
      </c>
      <c r="V175" s="4" t="n">
        <v>10</v>
      </c>
      <c r="W175" s="4" t="n">
        <v>23</v>
      </c>
      <c r="X175" s="4" t="n">
        <v>49</v>
      </c>
      <c r="Y175" s="4" t="n">
        <v>22</v>
      </c>
      <c r="Z175" s="4" t="n">
        <v>88</v>
      </c>
      <c r="AA175" s="4" t="n">
        <v>182</v>
      </c>
      <c r="AB175" s="4" t="n">
        <v>32</v>
      </c>
      <c r="AC175" s="4" t="n">
        <v>32</v>
      </c>
      <c r="AD175" s="14" t="n">
        <v>601.56</v>
      </c>
      <c r="AE175" s="9" t="n">
        <v>32</v>
      </c>
      <c r="AF175" s="14" t="n">
        <v>2722.5</v>
      </c>
      <c r="AG175" s="14" t="n">
        <v>4248.5</v>
      </c>
      <c r="AH175" s="4" t="s">
        <v>142</v>
      </c>
      <c r="AI175" s="4" t="s">
        <v>142</v>
      </c>
      <c r="AJ175" s="4"/>
    </row>
    <row r="176" customFormat="false" ht="15" hidden="false" customHeight="false" outlineLevel="0" collapsed="false">
      <c r="A176" s="4" t="s">
        <v>99</v>
      </c>
      <c r="B176" s="4" t="s">
        <v>100</v>
      </c>
      <c r="C176" s="4" t="s">
        <v>81</v>
      </c>
      <c r="D176" s="4" t="s">
        <v>63</v>
      </c>
      <c r="E176" s="4" t="s">
        <v>72</v>
      </c>
      <c r="F176" s="4" t="s">
        <v>289</v>
      </c>
      <c r="G176" s="4" t="s">
        <v>93</v>
      </c>
      <c r="H176" s="14" t="n">
        <v>12740.23</v>
      </c>
      <c r="I176" s="14"/>
      <c r="J176" s="15" t="n">
        <v>0.4</v>
      </c>
      <c r="K176" s="14" t="n">
        <v>3137.99</v>
      </c>
      <c r="L176" s="14"/>
      <c r="M176" s="16" t="n">
        <v>45966</v>
      </c>
      <c r="N176" s="16" t="n">
        <v>46163</v>
      </c>
      <c r="O176" s="16" t="n">
        <v>46212</v>
      </c>
      <c r="P176" s="16" t="n">
        <v>46222</v>
      </c>
      <c r="Q176" s="4"/>
      <c r="R176" s="4"/>
      <c r="S176" s="4"/>
      <c r="T176" s="4" t="n">
        <v>197</v>
      </c>
      <c r="U176" s="4" t="n">
        <v>49</v>
      </c>
      <c r="V176" s="4" t="n">
        <v>10</v>
      </c>
      <c r="W176" s="4"/>
      <c r="X176" s="4"/>
      <c r="Y176" s="4"/>
      <c r="Z176" s="4" t="n">
        <v>256</v>
      </c>
      <c r="AA176" s="4"/>
      <c r="AB176" s="4"/>
      <c r="AC176" s="4"/>
      <c r="AD176" s="14"/>
      <c r="AE176" s="9"/>
      <c r="AF176" s="14"/>
      <c r="AG176" s="14"/>
      <c r="AH176" s="4" t="s">
        <v>141</v>
      </c>
      <c r="AI176" s="4" t="s">
        <v>141</v>
      </c>
      <c r="AJ176" s="4" t="s">
        <v>101</v>
      </c>
    </row>
    <row r="177" customFormat="false" ht="15" hidden="false" customHeight="false" outlineLevel="0" collapsed="false">
      <c r="A177" s="4" t="s">
        <v>490</v>
      </c>
      <c r="B177" s="4" t="s">
        <v>491</v>
      </c>
      <c r="C177" s="4" t="s">
        <v>81</v>
      </c>
      <c r="D177" s="4" t="s">
        <v>61</v>
      </c>
      <c r="E177" s="4" t="s">
        <v>72</v>
      </c>
      <c r="F177" s="4" t="s">
        <v>289</v>
      </c>
      <c r="G177" s="4" t="s">
        <v>357</v>
      </c>
      <c r="H177" s="14" t="n">
        <v>12164.39</v>
      </c>
      <c r="I177" s="14" t="n">
        <v>34000</v>
      </c>
      <c r="J177" s="15" t="n">
        <v>0.33</v>
      </c>
      <c r="K177" s="14" t="n">
        <v>4307.8</v>
      </c>
      <c r="L177" s="14"/>
      <c r="M177" s="16" t="n">
        <v>45968</v>
      </c>
      <c r="N177" s="16" t="n">
        <v>46129</v>
      </c>
      <c r="O177" s="16" t="n">
        <v>46149</v>
      </c>
      <c r="P177" s="16" t="n">
        <v>46181</v>
      </c>
      <c r="Q177" s="16" t="n">
        <v>46237</v>
      </c>
      <c r="R177" s="16" t="n">
        <v>46273</v>
      </c>
      <c r="S177" s="4"/>
      <c r="T177" s="4" t="n">
        <v>161</v>
      </c>
      <c r="U177" s="4" t="n">
        <v>20</v>
      </c>
      <c r="V177" s="4" t="n">
        <v>32</v>
      </c>
      <c r="W177" s="4" t="n">
        <v>56</v>
      </c>
      <c r="X177" s="4" t="n">
        <v>36</v>
      </c>
      <c r="Y177" s="4"/>
      <c r="Z177" s="4" t="n">
        <v>213</v>
      </c>
      <c r="AA177" s="4"/>
      <c r="AB177" s="4"/>
      <c r="AC177" s="4" t="n">
        <v>76</v>
      </c>
      <c r="AD177" s="14"/>
      <c r="AE177" s="9"/>
      <c r="AF177" s="14" t="n">
        <v>11220</v>
      </c>
      <c r="AG177" s="14"/>
      <c r="AH177" s="4" t="s">
        <v>141</v>
      </c>
      <c r="AI177" s="4" t="s">
        <v>142</v>
      </c>
      <c r="AJ177" s="4" t="s">
        <v>94</v>
      </c>
    </row>
    <row r="178" customFormat="false" ht="15" hidden="false" customHeight="false" outlineLevel="0" collapsed="false">
      <c r="A178" s="4" t="s">
        <v>492</v>
      </c>
      <c r="B178" s="4" t="s">
        <v>493</v>
      </c>
      <c r="C178" s="4" t="s">
        <v>80</v>
      </c>
      <c r="D178" s="4" t="s">
        <v>62</v>
      </c>
      <c r="E178" s="4" t="s">
        <v>70</v>
      </c>
      <c r="F178" s="4" t="s">
        <v>289</v>
      </c>
      <c r="G178" s="4" t="s">
        <v>357</v>
      </c>
      <c r="H178" s="14" t="n">
        <v>20948.16</v>
      </c>
      <c r="I178" s="14" t="n">
        <v>34750</v>
      </c>
      <c r="J178" s="15" t="n">
        <v>0.33</v>
      </c>
      <c r="K178" s="14" t="n">
        <v>6223.83</v>
      </c>
      <c r="L178" s="14"/>
      <c r="M178" s="16" t="n">
        <v>45978</v>
      </c>
      <c r="N178" s="16" t="n">
        <v>46137</v>
      </c>
      <c r="O178" s="16" t="n">
        <v>46174</v>
      </c>
      <c r="P178" s="16" t="n">
        <v>46201</v>
      </c>
      <c r="Q178" s="16" t="n">
        <v>46230</v>
      </c>
      <c r="R178" s="16" t="n">
        <v>46257</v>
      </c>
      <c r="S178" s="4"/>
      <c r="T178" s="4" t="n">
        <v>159</v>
      </c>
      <c r="U178" s="4" t="n">
        <v>37</v>
      </c>
      <c r="V178" s="4" t="n">
        <v>27</v>
      </c>
      <c r="W178" s="4" t="n">
        <v>29</v>
      </c>
      <c r="X178" s="4" t="n">
        <v>27</v>
      </c>
      <c r="Y178" s="4"/>
      <c r="Z178" s="4" t="n">
        <v>223</v>
      </c>
      <c r="AA178" s="4"/>
      <c r="AB178" s="4"/>
      <c r="AC178" s="4" t="n">
        <v>66</v>
      </c>
      <c r="AD178" s="14"/>
      <c r="AE178" s="9"/>
      <c r="AF178" s="14" t="n">
        <v>11467.5</v>
      </c>
      <c r="AG178" s="14"/>
      <c r="AH178" s="4" t="s">
        <v>142</v>
      </c>
      <c r="AI178" s="4" t="s">
        <v>142</v>
      </c>
      <c r="AJ178" s="4"/>
    </row>
    <row r="179" customFormat="false" ht="15" hidden="false" customHeight="false" outlineLevel="0" collapsed="false">
      <c r="A179" s="4" t="s">
        <v>494</v>
      </c>
      <c r="B179" s="4" t="s">
        <v>495</v>
      </c>
      <c r="C179" s="4" t="s">
        <v>80</v>
      </c>
      <c r="D179" s="4" t="s">
        <v>61</v>
      </c>
      <c r="E179" s="4" t="s">
        <v>73</v>
      </c>
      <c r="F179" s="4" t="s">
        <v>289</v>
      </c>
      <c r="G179" s="4" t="s">
        <v>290</v>
      </c>
      <c r="H179" s="14" t="n">
        <v>5926.04</v>
      </c>
      <c r="I179" s="14"/>
      <c r="J179" s="15" t="n">
        <v>0.33</v>
      </c>
      <c r="K179" s="14" t="n">
        <v>3043.87</v>
      </c>
      <c r="L179" s="14"/>
      <c r="M179" s="16" t="n">
        <v>45982</v>
      </c>
      <c r="N179" s="16" t="n">
        <v>46132</v>
      </c>
      <c r="O179" s="16" t="n">
        <v>46148</v>
      </c>
      <c r="P179" s="16" t="n">
        <v>46173</v>
      </c>
      <c r="Q179" s="16" t="n">
        <v>46253</v>
      </c>
      <c r="R179" s="4"/>
      <c r="S179" s="4"/>
      <c r="T179" s="4" t="n">
        <v>150</v>
      </c>
      <c r="U179" s="4" t="n">
        <v>16</v>
      </c>
      <c r="V179" s="4" t="n">
        <v>25</v>
      </c>
      <c r="W179" s="4" t="n">
        <v>80</v>
      </c>
      <c r="X179" s="4"/>
      <c r="Y179" s="4"/>
      <c r="Z179" s="4" t="n">
        <v>191</v>
      </c>
      <c r="AA179" s="4"/>
      <c r="AB179" s="4"/>
      <c r="AC179" s="4" t="n">
        <v>96</v>
      </c>
      <c r="AD179" s="14"/>
      <c r="AE179" s="9"/>
      <c r="AF179" s="14"/>
      <c r="AG179" s="14"/>
      <c r="AH179" s="4" t="s">
        <v>141</v>
      </c>
      <c r="AI179" s="4" t="s">
        <v>142</v>
      </c>
      <c r="AJ179" s="4" t="s">
        <v>94</v>
      </c>
    </row>
    <row r="180" customFormat="false" ht="15" hidden="false" customHeight="false" outlineLevel="0" collapsed="false">
      <c r="A180" s="4" t="s">
        <v>496</v>
      </c>
      <c r="B180" s="4" t="s">
        <v>497</v>
      </c>
      <c r="C180" s="4" t="s">
        <v>80</v>
      </c>
      <c r="D180" s="4" t="s">
        <v>63</v>
      </c>
      <c r="E180" s="4" t="s">
        <v>73</v>
      </c>
      <c r="F180" s="4" t="s">
        <v>289</v>
      </c>
      <c r="G180" s="4" t="s">
        <v>97</v>
      </c>
      <c r="H180" s="14"/>
      <c r="I180" s="14"/>
      <c r="J180" s="15" t="n">
        <v>0.33</v>
      </c>
      <c r="K180" s="14"/>
      <c r="L180" s="14"/>
      <c r="M180" s="16" t="n">
        <v>45983</v>
      </c>
      <c r="N180" s="16" t="n">
        <v>46296</v>
      </c>
      <c r="O180" s="4"/>
      <c r="P180" s="4"/>
      <c r="Q180" s="4"/>
      <c r="R180" s="4"/>
      <c r="S180" s="4"/>
      <c r="T180" s="4" t="n">
        <v>313</v>
      </c>
      <c r="U180" s="4"/>
      <c r="V180" s="4"/>
      <c r="W180" s="4"/>
      <c r="X180" s="4"/>
      <c r="Y180" s="4"/>
      <c r="Z180" s="4"/>
      <c r="AA180" s="4"/>
      <c r="AB180" s="4"/>
      <c r="AC180" s="4"/>
      <c r="AD180" s="14"/>
      <c r="AE180" s="9"/>
      <c r="AF180" s="14"/>
      <c r="AG180" s="14"/>
      <c r="AH180" s="4" t="s">
        <v>142</v>
      </c>
      <c r="AI180" s="4" t="s">
        <v>142</v>
      </c>
      <c r="AJ180" s="4"/>
    </row>
    <row r="181" customFormat="false" ht="15" hidden="false" customHeight="false" outlineLevel="0" collapsed="false">
      <c r="A181" s="4" t="s">
        <v>498</v>
      </c>
      <c r="B181" s="4" t="s">
        <v>499</v>
      </c>
      <c r="C181" s="4" t="s">
        <v>80</v>
      </c>
      <c r="D181" s="4" t="s">
        <v>60</v>
      </c>
      <c r="E181" s="4" t="s">
        <v>71</v>
      </c>
      <c r="F181" s="4" t="s">
        <v>139</v>
      </c>
      <c r="G181" s="4" t="s">
        <v>140</v>
      </c>
      <c r="H181" s="14" t="n">
        <v>28066.61</v>
      </c>
      <c r="I181" s="14" t="n">
        <v>25000</v>
      </c>
      <c r="J181" s="15" t="n">
        <v>0.33</v>
      </c>
      <c r="K181" s="14" t="n">
        <v>19671.86</v>
      </c>
      <c r="L181" s="14" t="n">
        <v>8750</v>
      </c>
      <c r="M181" s="16" t="n">
        <v>45985</v>
      </c>
      <c r="N181" s="16" t="n">
        <v>46162</v>
      </c>
      <c r="O181" s="16" t="n">
        <v>46194</v>
      </c>
      <c r="P181" s="16" t="n">
        <v>46208</v>
      </c>
      <c r="Q181" s="16" t="n">
        <v>46231</v>
      </c>
      <c r="R181" s="16" t="n">
        <v>46262</v>
      </c>
      <c r="S181" s="16" t="n">
        <v>46296</v>
      </c>
      <c r="T181" s="4" t="n">
        <v>177</v>
      </c>
      <c r="U181" s="4" t="n">
        <v>32</v>
      </c>
      <c r="V181" s="4" t="n">
        <v>14</v>
      </c>
      <c r="W181" s="4" t="n">
        <v>23</v>
      </c>
      <c r="X181" s="4" t="n">
        <v>31</v>
      </c>
      <c r="Y181" s="4" t="n">
        <v>34</v>
      </c>
      <c r="Z181" s="4" t="n">
        <v>223</v>
      </c>
      <c r="AA181" s="4" t="n">
        <v>311</v>
      </c>
      <c r="AB181" s="4" t="n">
        <v>48</v>
      </c>
      <c r="AC181" s="4" t="n">
        <v>55</v>
      </c>
      <c r="AD181" s="14" t="n">
        <v>10921.86</v>
      </c>
      <c r="AE181" s="9" t="n">
        <v>55.5</v>
      </c>
      <c r="AF181" s="14" t="n">
        <v>8250</v>
      </c>
      <c r="AG181" s="14" t="n">
        <v>8000</v>
      </c>
      <c r="AH181" s="4" t="s">
        <v>142</v>
      </c>
      <c r="AI181" s="4" t="s">
        <v>142</v>
      </c>
      <c r="AJ181" s="4"/>
    </row>
    <row r="182" customFormat="false" ht="15" hidden="false" customHeight="false" outlineLevel="0" collapsed="false">
      <c r="A182" s="4" t="s">
        <v>500</v>
      </c>
      <c r="B182" s="4" t="s">
        <v>501</v>
      </c>
      <c r="C182" s="4" t="s">
        <v>81</v>
      </c>
      <c r="D182" s="4" t="s">
        <v>62</v>
      </c>
      <c r="E182" s="4" t="s">
        <v>70</v>
      </c>
      <c r="F182" s="4" t="s">
        <v>289</v>
      </c>
      <c r="G182" s="4" t="s">
        <v>290</v>
      </c>
      <c r="H182" s="14" t="n">
        <v>21379.12</v>
      </c>
      <c r="I182" s="14"/>
      <c r="J182" s="15" t="n">
        <v>0.4</v>
      </c>
      <c r="K182" s="14" t="n">
        <v>6388.08</v>
      </c>
      <c r="L182" s="14"/>
      <c r="M182" s="16" t="n">
        <v>45989</v>
      </c>
      <c r="N182" s="16" t="n">
        <v>46079</v>
      </c>
      <c r="O182" s="16" t="n">
        <v>46102</v>
      </c>
      <c r="P182" s="16" t="n">
        <v>46116</v>
      </c>
      <c r="Q182" s="16" t="n">
        <v>46135</v>
      </c>
      <c r="R182" s="4"/>
      <c r="S182" s="4"/>
      <c r="T182" s="4" t="n">
        <v>90</v>
      </c>
      <c r="U182" s="4" t="n">
        <v>23</v>
      </c>
      <c r="V182" s="4" t="n">
        <v>14</v>
      </c>
      <c r="W182" s="4" t="n">
        <v>19</v>
      </c>
      <c r="X182" s="4"/>
      <c r="Y182" s="4"/>
      <c r="Z182" s="4" t="n">
        <v>127</v>
      </c>
      <c r="AA182" s="4"/>
      <c r="AB182" s="4"/>
      <c r="AC182" s="4" t="n">
        <v>42</v>
      </c>
      <c r="AD182" s="14"/>
      <c r="AE182" s="9"/>
      <c r="AF182" s="14"/>
      <c r="AG182" s="14"/>
      <c r="AH182" s="4" t="s">
        <v>142</v>
      </c>
      <c r="AI182" s="4" t="s">
        <v>142</v>
      </c>
      <c r="AJ182" s="4"/>
    </row>
    <row r="183" customFormat="false" ht="15" hidden="false" customHeight="false" outlineLevel="0" collapsed="false">
      <c r="A183" s="4" t="s">
        <v>502</v>
      </c>
      <c r="B183" s="4" t="s">
        <v>503</v>
      </c>
      <c r="C183" s="4" t="s">
        <v>81</v>
      </c>
      <c r="D183" s="4" t="s">
        <v>59</v>
      </c>
      <c r="E183" s="4" t="s">
        <v>70</v>
      </c>
      <c r="F183" s="4" t="s">
        <v>289</v>
      </c>
      <c r="G183" s="4" t="s">
        <v>290</v>
      </c>
      <c r="H183" s="14" t="n">
        <v>14162.13</v>
      </c>
      <c r="I183" s="14"/>
      <c r="J183" s="15" t="n">
        <v>0.4</v>
      </c>
      <c r="K183" s="14" t="n">
        <v>12037.81</v>
      </c>
      <c r="L183" s="14"/>
      <c r="M183" s="16" t="n">
        <v>45990</v>
      </c>
      <c r="N183" s="16" t="n">
        <v>46057</v>
      </c>
      <c r="O183" s="16" t="n">
        <v>46075</v>
      </c>
      <c r="P183" s="16" t="n">
        <v>46096</v>
      </c>
      <c r="Q183" s="16" t="n">
        <v>46143</v>
      </c>
      <c r="R183" s="4"/>
      <c r="S183" s="4"/>
      <c r="T183" s="4" t="n">
        <v>67</v>
      </c>
      <c r="U183" s="4" t="n">
        <v>18</v>
      </c>
      <c r="V183" s="4" t="n">
        <v>21</v>
      </c>
      <c r="W183" s="4" t="n">
        <v>47</v>
      </c>
      <c r="X183" s="4"/>
      <c r="Y183" s="4"/>
      <c r="Z183" s="4" t="n">
        <v>106</v>
      </c>
      <c r="AA183" s="4"/>
      <c r="AB183" s="4"/>
      <c r="AC183" s="4" t="n">
        <v>65</v>
      </c>
      <c r="AD183" s="14"/>
      <c r="AE183" s="9"/>
      <c r="AF183" s="14"/>
      <c r="AG183" s="14"/>
      <c r="AH183" s="4" t="s">
        <v>141</v>
      </c>
      <c r="AI183" s="4" t="s">
        <v>142</v>
      </c>
      <c r="AJ183" s="4" t="s">
        <v>94</v>
      </c>
    </row>
    <row r="184" customFormat="false" ht="15" hidden="false" customHeight="false" outlineLevel="0" collapsed="false">
      <c r="A184" s="4" t="s">
        <v>504</v>
      </c>
      <c r="B184" s="4" t="s">
        <v>505</v>
      </c>
      <c r="C184" s="4" t="s">
        <v>81</v>
      </c>
      <c r="D184" s="4" t="s">
        <v>61</v>
      </c>
      <c r="E184" s="4" t="s">
        <v>70</v>
      </c>
      <c r="F184" s="4" t="s">
        <v>289</v>
      </c>
      <c r="G184" s="4" t="s">
        <v>290</v>
      </c>
      <c r="H184" s="14" t="n">
        <v>41136.03</v>
      </c>
      <c r="I184" s="14"/>
      <c r="J184" s="15" t="n">
        <v>0.4</v>
      </c>
      <c r="K184" s="14" t="n">
        <v>20121.06</v>
      </c>
      <c r="L184" s="14"/>
      <c r="M184" s="16" t="n">
        <v>45993</v>
      </c>
      <c r="N184" s="16" t="n">
        <v>46116</v>
      </c>
      <c r="O184" s="16" t="n">
        <v>46132</v>
      </c>
      <c r="P184" s="16" t="n">
        <v>46150</v>
      </c>
      <c r="Q184" s="16" t="n">
        <v>46179</v>
      </c>
      <c r="R184" s="4"/>
      <c r="S184" s="4"/>
      <c r="T184" s="4" t="n">
        <v>123</v>
      </c>
      <c r="U184" s="4" t="n">
        <v>16</v>
      </c>
      <c r="V184" s="4" t="n">
        <v>18</v>
      </c>
      <c r="W184" s="4" t="n">
        <v>29</v>
      </c>
      <c r="X184" s="4"/>
      <c r="Y184" s="4"/>
      <c r="Z184" s="4" t="n">
        <v>157</v>
      </c>
      <c r="AA184" s="4"/>
      <c r="AB184" s="4"/>
      <c r="AC184" s="4" t="n">
        <v>45</v>
      </c>
      <c r="AD184" s="14"/>
      <c r="AE184" s="9"/>
      <c r="AF184" s="14"/>
      <c r="AG184" s="14"/>
      <c r="AH184" s="4" t="s">
        <v>142</v>
      </c>
      <c r="AI184" s="4" t="s">
        <v>142</v>
      </c>
      <c r="AJ184" s="4"/>
    </row>
    <row r="185" customFormat="false" ht="15" hidden="false" customHeight="false" outlineLevel="0" collapsed="false">
      <c r="A185" s="4" t="s">
        <v>91</v>
      </c>
      <c r="B185" s="4" t="s">
        <v>92</v>
      </c>
      <c r="C185" s="4" t="s">
        <v>81</v>
      </c>
      <c r="D185" s="4" t="s">
        <v>61</v>
      </c>
      <c r="E185" s="4" t="s">
        <v>72</v>
      </c>
      <c r="F185" s="4" t="s">
        <v>289</v>
      </c>
      <c r="G185" s="4" t="s">
        <v>93</v>
      </c>
      <c r="H185" s="14" t="n">
        <v>66624.62</v>
      </c>
      <c r="I185" s="14"/>
      <c r="J185" s="15" t="n">
        <v>0.4</v>
      </c>
      <c r="K185" s="14" t="n">
        <v>18177.02</v>
      </c>
      <c r="L185" s="14"/>
      <c r="M185" s="16" t="n">
        <v>45993</v>
      </c>
      <c r="N185" s="16" t="n">
        <v>46124</v>
      </c>
      <c r="O185" s="16" t="n">
        <v>46161</v>
      </c>
      <c r="P185" s="16" t="n">
        <v>46175</v>
      </c>
      <c r="Q185" s="4"/>
      <c r="R185" s="4"/>
      <c r="S185" s="4"/>
      <c r="T185" s="4" t="n">
        <v>131</v>
      </c>
      <c r="U185" s="4" t="n">
        <v>37</v>
      </c>
      <c r="V185" s="4" t="n">
        <v>14</v>
      </c>
      <c r="W185" s="4"/>
      <c r="X185" s="4"/>
      <c r="Y185" s="4"/>
      <c r="Z185" s="4" t="n">
        <v>182</v>
      </c>
      <c r="AA185" s="4"/>
      <c r="AB185" s="4"/>
      <c r="AC185" s="4"/>
      <c r="AD185" s="14"/>
      <c r="AE185" s="9"/>
      <c r="AF185" s="14"/>
      <c r="AG185" s="14"/>
      <c r="AH185" s="4" t="s">
        <v>141</v>
      </c>
      <c r="AI185" s="4" t="s">
        <v>141</v>
      </c>
      <c r="AJ185" s="4" t="s">
        <v>94</v>
      </c>
    </row>
    <row r="186" customFormat="false" ht="15" hidden="false" customHeight="false" outlineLevel="0" collapsed="false">
      <c r="A186" s="4" t="s">
        <v>506</v>
      </c>
      <c r="B186" s="4" t="s">
        <v>507</v>
      </c>
      <c r="C186" s="4" t="s">
        <v>80</v>
      </c>
      <c r="D186" s="4" t="s">
        <v>59</v>
      </c>
      <c r="E186" s="4" t="s">
        <v>71</v>
      </c>
      <c r="F186" s="4" t="s">
        <v>289</v>
      </c>
      <c r="G186" s="4" t="s">
        <v>290</v>
      </c>
      <c r="H186" s="14" t="n">
        <v>15619.79</v>
      </c>
      <c r="I186" s="14"/>
      <c r="J186" s="15" t="n">
        <v>0.4</v>
      </c>
      <c r="K186" s="14" t="n">
        <v>6307.99</v>
      </c>
      <c r="L186" s="14"/>
      <c r="M186" s="16" t="n">
        <v>46000</v>
      </c>
      <c r="N186" s="16" t="n">
        <v>46116</v>
      </c>
      <c r="O186" s="16" t="n">
        <v>46130</v>
      </c>
      <c r="P186" s="16" t="n">
        <v>46140</v>
      </c>
      <c r="Q186" s="16" t="n">
        <v>46162</v>
      </c>
      <c r="R186" s="4"/>
      <c r="S186" s="4"/>
      <c r="T186" s="4" t="n">
        <v>116</v>
      </c>
      <c r="U186" s="4" t="n">
        <v>14</v>
      </c>
      <c r="V186" s="4" t="n">
        <v>10</v>
      </c>
      <c r="W186" s="4" t="n">
        <v>22</v>
      </c>
      <c r="X186" s="4"/>
      <c r="Y186" s="4"/>
      <c r="Z186" s="4" t="n">
        <v>140</v>
      </c>
      <c r="AA186" s="4"/>
      <c r="AB186" s="4"/>
      <c r="AC186" s="4" t="n">
        <v>36</v>
      </c>
      <c r="AD186" s="14"/>
      <c r="AE186" s="9"/>
      <c r="AF186" s="14"/>
      <c r="AG186" s="14"/>
      <c r="AH186" s="4" t="s">
        <v>142</v>
      </c>
      <c r="AI186" s="4" t="s">
        <v>142</v>
      </c>
      <c r="AJ186" s="4"/>
    </row>
    <row r="187" customFormat="false" ht="15" hidden="false" customHeight="false" outlineLevel="0" collapsed="false">
      <c r="A187" s="4" t="s">
        <v>508</v>
      </c>
      <c r="B187" s="4" t="s">
        <v>509</v>
      </c>
      <c r="C187" s="4" t="s">
        <v>80</v>
      </c>
      <c r="D187" s="4" t="s">
        <v>62</v>
      </c>
      <c r="E187" s="4" t="s">
        <v>72</v>
      </c>
      <c r="F187" s="4" t="s">
        <v>139</v>
      </c>
      <c r="G187" s="4" t="s">
        <v>140</v>
      </c>
      <c r="H187" s="14" t="n">
        <v>43386.27</v>
      </c>
      <c r="I187" s="14" t="n">
        <v>76250</v>
      </c>
      <c r="J187" s="15" t="n">
        <v>0.33</v>
      </c>
      <c r="K187" s="14" t="n">
        <v>36878.33</v>
      </c>
      <c r="L187" s="14" t="n">
        <v>14055.26</v>
      </c>
      <c r="M187" s="16" t="n">
        <v>46015</v>
      </c>
      <c r="N187" s="16" t="n">
        <v>46103</v>
      </c>
      <c r="O187" s="16" t="n">
        <v>46132</v>
      </c>
      <c r="P187" s="16" t="n">
        <v>46149</v>
      </c>
      <c r="Q187" s="16" t="n">
        <v>46193</v>
      </c>
      <c r="R187" s="16" t="n">
        <v>46208</v>
      </c>
      <c r="S187" s="16" t="n">
        <v>46270</v>
      </c>
      <c r="T187" s="4" t="n">
        <v>88</v>
      </c>
      <c r="U187" s="4" t="n">
        <v>29</v>
      </c>
      <c r="V187" s="4" t="n">
        <v>17</v>
      </c>
      <c r="W187" s="4" t="n">
        <v>44</v>
      </c>
      <c r="X187" s="4" t="n">
        <v>15</v>
      </c>
      <c r="Y187" s="4" t="n">
        <v>62</v>
      </c>
      <c r="Z187" s="4" t="n">
        <v>134</v>
      </c>
      <c r="AA187" s="4" t="n">
        <v>255</v>
      </c>
      <c r="AB187" s="4" t="n">
        <v>79</v>
      </c>
      <c r="AC187" s="4" t="n">
        <v>73</v>
      </c>
      <c r="AD187" s="14" t="n">
        <v>22823.07</v>
      </c>
      <c r="AE187" s="9" t="n">
        <v>61.9</v>
      </c>
      <c r="AF187" s="14" t="n">
        <v>25162.5</v>
      </c>
      <c r="AG187" s="14" t="n">
        <v>37032.24</v>
      </c>
      <c r="AH187" s="4" t="s">
        <v>142</v>
      </c>
      <c r="AI187" s="4" t="s">
        <v>142</v>
      </c>
      <c r="AJ187" s="4"/>
    </row>
    <row r="188" customFormat="false" ht="15" hidden="false" customHeight="false" outlineLevel="0" collapsed="false">
      <c r="A188" s="4" t="s">
        <v>510</v>
      </c>
      <c r="B188" s="4" t="s">
        <v>511</v>
      </c>
      <c r="C188" s="4" t="s">
        <v>80</v>
      </c>
      <c r="D188" s="4" t="s">
        <v>61</v>
      </c>
      <c r="E188" s="4" t="s">
        <v>71</v>
      </c>
      <c r="F188" s="4" t="s">
        <v>289</v>
      </c>
      <c r="G188" s="4" t="s">
        <v>290</v>
      </c>
      <c r="H188" s="14" t="n">
        <v>173520.36</v>
      </c>
      <c r="I188" s="14"/>
      <c r="J188" s="15" t="n">
        <v>0.33</v>
      </c>
      <c r="K188" s="14" t="n">
        <v>15000</v>
      </c>
      <c r="L188" s="14"/>
      <c r="M188" s="16" t="n">
        <v>46015</v>
      </c>
      <c r="N188" s="16" t="n">
        <v>46205</v>
      </c>
      <c r="O188" s="16" t="n">
        <v>46266</v>
      </c>
      <c r="P188" s="16" t="n">
        <v>46273</v>
      </c>
      <c r="Q188" s="16" t="n">
        <v>46304</v>
      </c>
      <c r="R188" s="4"/>
      <c r="S188" s="4"/>
      <c r="T188" s="4" t="n">
        <v>190</v>
      </c>
      <c r="U188" s="4" t="n">
        <v>61</v>
      </c>
      <c r="V188" s="4" t="n">
        <v>7</v>
      </c>
      <c r="W188" s="4" t="n">
        <v>31</v>
      </c>
      <c r="X188" s="4"/>
      <c r="Y188" s="4"/>
      <c r="Z188" s="4" t="n">
        <v>258</v>
      </c>
      <c r="AA188" s="4"/>
      <c r="AB188" s="4"/>
      <c r="AC188" s="4" t="n">
        <v>92</v>
      </c>
      <c r="AD188" s="14"/>
      <c r="AE188" s="9"/>
      <c r="AF188" s="14"/>
      <c r="AG188" s="14"/>
      <c r="AH188" s="4" t="s">
        <v>141</v>
      </c>
      <c r="AI188" s="4" t="s">
        <v>142</v>
      </c>
      <c r="AJ188" s="4" t="s">
        <v>98</v>
      </c>
    </row>
    <row r="189" customFormat="false" ht="15" hidden="false" customHeight="false" outlineLevel="0" collapsed="false">
      <c r="A189" s="4" t="s">
        <v>512</v>
      </c>
      <c r="B189" s="4" t="s">
        <v>513</v>
      </c>
      <c r="C189" s="4" t="s">
        <v>81</v>
      </c>
      <c r="D189" s="4" t="s">
        <v>63</v>
      </c>
      <c r="E189" s="4" t="s">
        <v>72</v>
      </c>
      <c r="F189" s="4" t="s">
        <v>139</v>
      </c>
      <c r="G189" s="4" t="s">
        <v>140</v>
      </c>
      <c r="H189" s="14" t="n">
        <v>82348.84</v>
      </c>
      <c r="I189" s="14" t="n">
        <v>131750</v>
      </c>
      <c r="J189" s="15" t="n">
        <v>0.33</v>
      </c>
      <c r="K189" s="14" t="n">
        <v>21483.6</v>
      </c>
      <c r="L189" s="14" t="n">
        <v>20503.1</v>
      </c>
      <c r="M189" s="16" t="n">
        <v>46029</v>
      </c>
      <c r="N189" s="16" t="n">
        <v>46064</v>
      </c>
      <c r="O189" s="16" t="n">
        <v>46085</v>
      </c>
      <c r="P189" s="16" t="n">
        <v>46107</v>
      </c>
      <c r="Q189" s="16" t="n">
        <v>46187</v>
      </c>
      <c r="R189" s="16" t="n">
        <v>46213</v>
      </c>
      <c r="S189" s="16" t="n">
        <v>46267</v>
      </c>
      <c r="T189" s="4" t="n">
        <v>35</v>
      </c>
      <c r="U189" s="4" t="n">
        <v>21</v>
      </c>
      <c r="V189" s="4" t="n">
        <v>22</v>
      </c>
      <c r="W189" s="4" t="n">
        <v>80</v>
      </c>
      <c r="X189" s="4" t="n">
        <v>26</v>
      </c>
      <c r="Y189" s="4" t="n">
        <v>54</v>
      </c>
      <c r="Z189" s="4" t="n">
        <v>78</v>
      </c>
      <c r="AA189" s="4" t="n">
        <v>238</v>
      </c>
      <c r="AB189" s="4" t="n">
        <v>76</v>
      </c>
      <c r="AC189" s="4" t="n">
        <v>101</v>
      </c>
      <c r="AD189" s="14" t="n">
        <v>980.5</v>
      </c>
      <c r="AE189" s="9" t="n">
        <v>4.6</v>
      </c>
      <c r="AF189" s="14" t="n">
        <v>43477.5</v>
      </c>
      <c r="AG189" s="14" t="n">
        <v>67769.4</v>
      </c>
      <c r="AH189" s="4" t="s">
        <v>141</v>
      </c>
      <c r="AI189" s="4" t="s">
        <v>142</v>
      </c>
      <c r="AJ189" s="4" t="s">
        <v>94</v>
      </c>
    </row>
    <row r="190" customFormat="false" ht="15" hidden="false" customHeight="false" outlineLevel="0" collapsed="false">
      <c r="A190" s="4" t="s">
        <v>514</v>
      </c>
      <c r="B190" s="4" t="s">
        <v>515</v>
      </c>
      <c r="C190" s="4" t="s">
        <v>82</v>
      </c>
      <c r="D190" s="4" t="s">
        <v>63</v>
      </c>
      <c r="E190" s="4" t="s">
        <v>73</v>
      </c>
      <c r="F190" s="4" t="s">
        <v>289</v>
      </c>
      <c r="G190" s="4" t="s">
        <v>93</v>
      </c>
      <c r="H190" s="14" t="n">
        <v>9297.23</v>
      </c>
      <c r="I190" s="14"/>
      <c r="J190" s="15" t="n">
        <v>0.33</v>
      </c>
      <c r="K190" s="14" t="n">
        <v>6342.07</v>
      </c>
      <c r="L190" s="14"/>
      <c r="M190" s="16" t="n">
        <v>46031</v>
      </c>
      <c r="N190" s="16" t="n">
        <v>46228</v>
      </c>
      <c r="O190" s="16" t="n">
        <v>46256</v>
      </c>
      <c r="P190" s="16" t="n">
        <v>46263</v>
      </c>
      <c r="Q190" s="4"/>
      <c r="R190" s="4"/>
      <c r="S190" s="4"/>
      <c r="T190" s="4" t="n">
        <v>197</v>
      </c>
      <c r="U190" s="4" t="n">
        <v>28</v>
      </c>
      <c r="V190" s="4" t="n">
        <v>7</v>
      </c>
      <c r="W190" s="4"/>
      <c r="X190" s="4"/>
      <c r="Y190" s="4"/>
      <c r="Z190" s="4" t="n">
        <v>232</v>
      </c>
      <c r="AA190" s="4"/>
      <c r="AB190" s="4"/>
      <c r="AC190" s="4"/>
      <c r="AD190" s="14"/>
      <c r="AE190" s="9"/>
      <c r="AF190" s="14"/>
      <c r="AG190" s="14"/>
      <c r="AH190" s="4" t="s">
        <v>142</v>
      </c>
      <c r="AI190" s="4" t="s">
        <v>142</v>
      </c>
      <c r="AJ190" s="4"/>
    </row>
    <row r="191" customFormat="false" ht="15" hidden="false" customHeight="false" outlineLevel="0" collapsed="false">
      <c r="A191" s="4" t="s">
        <v>516</v>
      </c>
      <c r="B191" s="4" t="s">
        <v>517</v>
      </c>
      <c r="C191" s="4" t="s">
        <v>80</v>
      </c>
      <c r="D191" s="4" t="s">
        <v>61</v>
      </c>
      <c r="E191" s="4" t="s">
        <v>74</v>
      </c>
      <c r="F191" s="4" t="s">
        <v>289</v>
      </c>
      <c r="G191" s="4" t="s">
        <v>93</v>
      </c>
      <c r="H191" s="14" t="n">
        <v>61031.4</v>
      </c>
      <c r="I191" s="14"/>
      <c r="J191" s="15" t="n">
        <v>0.4</v>
      </c>
      <c r="K191" s="14" t="n">
        <v>11301.11</v>
      </c>
      <c r="L191" s="14"/>
      <c r="M191" s="16" t="n">
        <v>46031</v>
      </c>
      <c r="N191" s="16" t="n">
        <v>46249</v>
      </c>
      <c r="O191" s="16" t="n">
        <v>46265</v>
      </c>
      <c r="P191" s="16" t="n">
        <v>46282</v>
      </c>
      <c r="Q191" s="4"/>
      <c r="R191" s="4"/>
      <c r="S191" s="4"/>
      <c r="T191" s="4" t="n">
        <v>218</v>
      </c>
      <c r="U191" s="4" t="n">
        <v>16</v>
      </c>
      <c r="V191" s="4" t="n">
        <v>17</v>
      </c>
      <c r="W191" s="4"/>
      <c r="X191" s="4"/>
      <c r="Y191" s="4"/>
      <c r="Z191" s="4" t="n">
        <v>251</v>
      </c>
      <c r="AA191" s="4"/>
      <c r="AB191" s="4"/>
      <c r="AC191" s="4"/>
      <c r="AD191" s="14"/>
      <c r="AE191" s="9"/>
      <c r="AF191" s="14"/>
      <c r="AG191" s="14"/>
      <c r="AH191" s="4" t="s">
        <v>142</v>
      </c>
      <c r="AI191" s="4" t="s">
        <v>142</v>
      </c>
      <c r="AJ191" s="4"/>
    </row>
    <row r="192" customFormat="false" ht="15" hidden="false" customHeight="false" outlineLevel="0" collapsed="false">
      <c r="A192" s="4" t="s">
        <v>518</v>
      </c>
      <c r="B192" s="4" t="s">
        <v>519</v>
      </c>
      <c r="C192" s="4" t="s">
        <v>83</v>
      </c>
      <c r="D192" s="4" t="s">
        <v>60</v>
      </c>
      <c r="E192" s="4" t="s">
        <v>72</v>
      </c>
      <c r="F192" s="4" t="s">
        <v>139</v>
      </c>
      <c r="G192" s="4" t="s">
        <v>140</v>
      </c>
      <c r="H192" s="14" t="n">
        <v>6649.54</v>
      </c>
      <c r="I192" s="14" t="n">
        <v>13250</v>
      </c>
      <c r="J192" s="15" t="n">
        <v>0.33</v>
      </c>
      <c r="K192" s="14" t="n">
        <v>2122.72</v>
      </c>
      <c r="L192" s="14" t="n">
        <v>1387.26</v>
      </c>
      <c r="M192" s="16" t="n">
        <v>46045</v>
      </c>
      <c r="N192" s="16" t="n">
        <v>46089</v>
      </c>
      <c r="O192" s="16" t="n">
        <v>46113</v>
      </c>
      <c r="P192" s="16" t="n">
        <v>46124</v>
      </c>
      <c r="Q192" s="16" t="n">
        <v>46200</v>
      </c>
      <c r="R192" s="16" t="n">
        <v>46222</v>
      </c>
      <c r="S192" s="16" t="n">
        <v>46247</v>
      </c>
      <c r="T192" s="4" t="n">
        <v>44</v>
      </c>
      <c r="U192" s="4" t="n">
        <v>24</v>
      </c>
      <c r="V192" s="4" t="n">
        <v>11</v>
      </c>
      <c r="W192" s="4" t="n">
        <v>76</v>
      </c>
      <c r="X192" s="4" t="n">
        <v>22</v>
      </c>
      <c r="Y192" s="4" t="n">
        <v>25</v>
      </c>
      <c r="Z192" s="4" t="n">
        <v>79</v>
      </c>
      <c r="AA192" s="4" t="n">
        <v>202</v>
      </c>
      <c r="AB192" s="4" t="n">
        <v>36</v>
      </c>
      <c r="AC192" s="4" t="n">
        <v>100</v>
      </c>
      <c r="AD192" s="14" t="n">
        <v>735.46</v>
      </c>
      <c r="AE192" s="9" t="n">
        <v>34.6</v>
      </c>
      <c r="AF192" s="14" t="n">
        <v>4372.5</v>
      </c>
      <c r="AG192" s="14" t="n">
        <v>7490.24</v>
      </c>
      <c r="AH192" s="4" t="s">
        <v>141</v>
      </c>
      <c r="AI192" s="4" t="s">
        <v>142</v>
      </c>
      <c r="AJ192" s="4" t="s">
        <v>94</v>
      </c>
    </row>
    <row r="193" customFormat="false" ht="15" hidden="false" customHeight="false" outlineLevel="0" collapsed="false">
      <c r="A193" s="4" t="s">
        <v>520</v>
      </c>
      <c r="B193" s="4" t="s">
        <v>521</v>
      </c>
      <c r="C193" s="4" t="s">
        <v>82</v>
      </c>
      <c r="D193" s="4" t="s">
        <v>60</v>
      </c>
      <c r="E193" s="4" t="s">
        <v>70</v>
      </c>
      <c r="F193" s="4" t="s">
        <v>289</v>
      </c>
      <c r="G193" s="4" t="s">
        <v>290</v>
      </c>
      <c r="H193" s="14" t="n">
        <v>129500.21</v>
      </c>
      <c r="I193" s="14"/>
      <c r="J193" s="15" t="n">
        <v>0.33</v>
      </c>
      <c r="K193" s="14" t="n">
        <v>7500</v>
      </c>
      <c r="L193" s="14"/>
      <c r="M193" s="16" t="n">
        <v>46053</v>
      </c>
      <c r="N193" s="16" t="n">
        <v>46170</v>
      </c>
      <c r="O193" s="16" t="n">
        <v>46211</v>
      </c>
      <c r="P193" s="16" t="n">
        <v>46281</v>
      </c>
      <c r="Q193" s="16" t="n">
        <v>46307</v>
      </c>
      <c r="R193" s="4"/>
      <c r="S193" s="4"/>
      <c r="T193" s="4" t="n">
        <v>117</v>
      </c>
      <c r="U193" s="4" t="n">
        <v>41</v>
      </c>
      <c r="V193" s="4" t="n">
        <v>70</v>
      </c>
      <c r="W193" s="4" t="n">
        <v>26</v>
      </c>
      <c r="X193" s="4"/>
      <c r="Y193" s="4"/>
      <c r="Z193" s="4" t="n">
        <v>228</v>
      </c>
      <c r="AA193" s="4"/>
      <c r="AB193" s="4"/>
      <c r="AC193" s="4" t="n">
        <v>67</v>
      </c>
      <c r="AD193" s="14"/>
      <c r="AE193" s="9"/>
      <c r="AF193" s="14"/>
      <c r="AG193" s="14"/>
      <c r="AH193" s="4" t="s">
        <v>142</v>
      </c>
      <c r="AI193" s="4" t="s">
        <v>142</v>
      </c>
      <c r="AJ193" s="4"/>
    </row>
    <row r="194" customFormat="false" ht="15" hidden="false" customHeight="false" outlineLevel="0" collapsed="false">
      <c r="A194" s="4" t="s">
        <v>95</v>
      </c>
      <c r="B194" s="4" t="s">
        <v>96</v>
      </c>
      <c r="C194" s="4" t="s">
        <v>80</v>
      </c>
      <c r="D194" s="4" t="s">
        <v>62</v>
      </c>
      <c r="E194" s="4" t="s">
        <v>70</v>
      </c>
      <c r="F194" s="4" t="s">
        <v>289</v>
      </c>
      <c r="G194" s="4" t="s">
        <v>97</v>
      </c>
      <c r="H194" s="14"/>
      <c r="I194" s="14"/>
      <c r="J194" s="15" t="n">
        <v>0.33</v>
      </c>
      <c r="K194" s="14"/>
      <c r="L194" s="14"/>
      <c r="M194" s="16" t="n">
        <v>46055</v>
      </c>
      <c r="N194" s="16" t="n">
        <v>46207</v>
      </c>
      <c r="O194" s="4"/>
      <c r="P194" s="4"/>
      <c r="Q194" s="4"/>
      <c r="R194" s="4"/>
      <c r="S194" s="4"/>
      <c r="T194" s="4" t="n">
        <v>152</v>
      </c>
      <c r="U194" s="4"/>
      <c r="V194" s="4"/>
      <c r="W194" s="4"/>
      <c r="X194" s="4"/>
      <c r="Y194" s="4"/>
      <c r="Z194" s="4"/>
      <c r="AA194" s="4"/>
      <c r="AB194" s="4"/>
      <c r="AC194" s="4"/>
      <c r="AD194" s="14"/>
      <c r="AE194" s="9"/>
      <c r="AF194" s="14"/>
      <c r="AG194" s="14"/>
      <c r="AH194" s="4" t="s">
        <v>141</v>
      </c>
      <c r="AI194" s="4" t="s">
        <v>141</v>
      </c>
      <c r="AJ194" s="4" t="s">
        <v>98</v>
      </c>
    </row>
    <row r="195" customFormat="false" ht="15" hidden="false" customHeight="false" outlineLevel="0" collapsed="false">
      <c r="A195" s="4" t="s">
        <v>522</v>
      </c>
      <c r="B195" s="4" t="s">
        <v>523</v>
      </c>
      <c r="C195" s="4" t="s">
        <v>80</v>
      </c>
      <c r="D195" s="4" t="s">
        <v>63</v>
      </c>
      <c r="E195" s="4" t="s">
        <v>71</v>
      </c>
      <c r="F195" s="4" t="s">
        <v>139</v>
      </c>
      <c r="G195" s="4" t="s">
        <v>140</v>
      </c>
      <c r="H195" s="14" t="n">
        <v>31333.08</v>
      </c>
      <c r="I195" s="14" t="n">
        <v>14000</v>
      </c>
      <c r="J195" s="15" t="n">
        <v>0.33</v>
      </c>
      <c r="K195" s="14" t="n">
        <v>4303.61</v>
      </c>
      <c r="L195" s="14" t="n">
        <v>2683.99</v>
      </c>
      <c r="M195" s="16" t="n">
        <v>46061</v>
      </c>
      <c r="N195" s="16" t="n">
        <v>46109</v>
      </c>
      <c r="O195" s="16" t="n">
        <v>46139</v>
      </c>
      <c r="P195" s="16" t="n">
        <v>46146</v>
      </c>
      <c r="Q195" s="16" t="n">
        <v>46170</v>
      </c>
      <c r="R195" s="16" t="n">
        <v>46201</v>
      </c>
      <c r="S195" s="16" t="n">
        <v>46219</v>
      </c>
      <c r="T195" s="4" t="n">
        <v>48</v>
      </c>
      <c r="U195" s="4" t="n">
        <v>30</v>
      </c>
      <c r="V195" s="4" t="n">
        <v>7</v>
      </c>
      <c r="W195" s="4" t="n">
        <v>24</v>
      </c>
      <c r="X195" s="4" t="n">
        <v>31</v>
      </c>
      <c r="Y195" s="4" t="n">
        <v>18</v>
      </c>
      <c r="Z195" s="4" t="n">
        <v>85</v>
      </c>
      <c r="AA195" s="4" t="n">
        <v>158</v>
      </c>
      <c r="AB195" s="4" t="n">
        <v>25</v>
      </c>
      <c r="AC195" s="4" t="n">
        <v>54</v>
      </c>
      <c r="AD195" s="14" t="n">
        <v>1619.62</v>
      </c>
      <c r="AE195" s="9" t="n">
        <v>37.6</v>
      </c>
      <c r="AF195" s="14" t="n">
        <v>4620</v>
      </c>
      <c r="AG195" s="14" t="n">
        <v>6696.01</v>
      </c>
      <c r="AH195" s="4" t="s">
        <v>142</v>
      </c>
      <c r="AI195" s="4" t="s">
        <v>142</v>
      </c>
      <c r="AJ195" s="4"/>
    </row>
    <row r="196" customFormat="false" ht="15" hidden="false" customHeight="false" outlineLevel="0" collapsed="false">
      <c r="A196" s="4" t="s">
        <v>524</v>
      </c>
      <c r="B196" s="4" t="s">
        <v>525</v>
      </c>
      <c r="C196" s="4" t="s">
        <v>80</v>
      </c>
      <c r="D196" s="4" t="s">
        <v>59</v>
      </c>
      <c r="E196" s="4" t="s">
        <v>73</v>
      </c>
      <c r="F196" s="4" t="s">
        <v>289</v>
      </c>
      <c r="G196" s="4" t="s">
        <v>97</v>
      </c>
      <c r="H196" s="14"/>
      <c r="I196" s="14"/>
      <c r="J196" s="15" t="n">
        <v>0.33</v>
      </c>
      <c r="K196" s="14"/>
      <c r="L196" s="14"/>
      <c r="M196" s="16" t="n">
        <v>46065</v>
      </c>
      <c r="N196" s="16" t="n">
        <v>46292</v>
      </c>
      <c r="O196" s="4"/>
      <c r="P196" s="4"/>
      <c r="Q196" s="4"/>
      <c r="R196" s="4"/>
      <c r="S196" s="4"/>
      <c r="T196" s="4" t="n">
        <v>227</v>
      </c>
      <c r="U196" s="4"/>
      <c r="V196" s="4"/>
      <c r="W196" s="4"/>
      <c r="X196" s="4"/>
      <c r="Y196" s="4"/>
      <c r="Z196" s="4"/>
      <c r="AA196" s="4"/>
      <c r="AB196" s="4"/>
      <c r="AC196" s="4"/>
      <c r="AD196" s="14"/>
      <c r="AE196" s="9"/>
      <c r="AF196" s="14"/>
      <c r="AG196" s="14"/>
      <c r="AH196" s="4" t="s">
        <v>142</v>
      </c>
      <c r="AI196" s="4" t="s">
        <v>142</v>
      </c>
      <c r="AJ196" s="4"/>
    </row>
    <row r="197" customFormat="false" ht="15" hidden="false" customHeight="false" outlineLevel="0" collapsed="false">
      <c r="A197" s="4" t="s">
        <v>526</v>
      </c>
      <c r="B197" s="4" t="s">
        <v>527</v>
      </c>
      <c r="C197" s="4" t="s">
        <v>80</v>
      </c>
      <c r="D197" s="4" t="s">
        <v>61</v>
      </c>
      <c r="E197" s="4" t="s">
        <v>73</v>
      </c>
      <c r="F197" s="4" t="s">
        <v>289</v>
      </c>
      <c r="G197" s="4" t="s">
        <v>93</v>
      </c>
      <c r="H197" s="14" t="n">
        <v>22077.41</v>
      </c>
      <c r="I197" s="14"/>
      <c r="J197" s="15" t="n">
        <v>0.33</v>
      </c>
      <c r="K197" s="14" t="n">
        <v>0</v>
      </c>
      <c r="L197" s="14"/>
      <c r="M197" s="16" t="n">
        <v>46068</v>
      </c>
      <c r="N197" s="16" t="n">
        <v>46241</v>
      </c>
      <c r="O197" s="16" t="n">
        <v>46262</v>
      </c>
      <c r="P197" s="16" t="n">
        <v>46270</v>
      </c>
      <c r="Q197" s="4"/>
      <c r="R197" s="4"/>
      <c r="S197" s="4"/>
      <c r="T197" s="4" t="n">
        <v>173</v>
      </c>
      <c r="U197" s="4" t="n">
        <v>21</v>
      </c>
      <c r="V197" s="4" t="n">
        <v>8</v>
      </c>
      <c r="W197" s="4"/>
      <c r="X197" s="4"/>
      <c r="Y197" s="4"/>
      <c r="Z197" s="4" t="n">
        <v>202</v>
      </c>
      <c r="AA197" s="4"/>
      <c r="AB197" s="4"/>
      <c r="AC197" s="4"/>
      <c r="AD197" s="14"/>
      <c r="AE197" s="9"/>
      <c r="AF197" s="14"/>
      <c r="AG197" s="14"/>
      <c r="AH197" s="4" t="s">
        <v>142</v>
      </c>
      <c r="AI197" s="4" t="s">
        <v>142</v>
      </c>
      <c r="AJ197" s="4"/>
    </row>
    <row r="198" customFormat="false" ht="15" hidden="false" customHeight="false" outlineLevel="0" collapsed="false">
      <c r="A198" s="4" t="s">
        <v>104</v>
      </c>
      <c r="B198" s="4" t="s">
        <v>105</v>
      </c>
      <c r="C198" s="4" t="s">
        <v>82</v>
      </c>
      <c r="D198" s="4" t="s">
        <v>62</v>
      </c>
      <c r="E198" s="4" t="s">
        <v>73</v>
      </c>
      <c r="F198" s="4" t="s">
        <v>289</v>
      </c>
      <c r="G198" s="4" t="s">
        <v>97</v>
      </c>
      <c r="H198" s="14"/>
      <c r="I198" s="14"/>
      <c r="J198" s="15" t="n">
        <v>0.33</v>
      </c>
      <c r="K198" s="14"/>
      <c r="L198" s="14"/>
      <c r="M198" s="16" t="n">
        <v>46072</v>
      </c>
      <c r="N198" s="16" t="n">
        <v>46255</v>
      </c>
      <c r="O198" s="4"/>
      <c r="P198" s="4"/>
      <c r="Q198" s="4"/>
      <c r="R198" s="4"/>
      <c r="S198" s="4"/>
      <c r="T198" s="4" t="n">
        <v>183</v>
      </c>
      <c r="U198" s="4"/>
      <c r="V198" s="4"/>
      <c r="W198" s="4"/>
      <c r="X198" s="4"/>
      <c r="Y198" s="4"/>
      <c r="Z198" s="4"/>
      <c r="AA198" s="4"/>
      <c r="AB198" s="4"/>
      <c r="AC198" s="4"/>
      <c r="AD198" s="14"/>
      <c r="AE198" s="9"/>
      <c r="AF198" s="14"/>
      <c r="AG198" s="14"/>
      <c r="AH198" s="4" t="s">
        <v>141</v>
      </c>
      <c r="AI198" s="4" t="s">
        <v>141</v>
      </c>
      <c r="AJ198" s="4" t="s">
        <v>98</v>
      </c>
    </row>
    <row r="199" customFormat="false" ht="15" hidden="false" customHeight="false" outlineLevel="0" collapsed="false">
      <c r="A199" s="4" t="s">
        <v>528</v>
      </c>
      <c r="B199" s="4" t="s">
        <v>529</v>
      </c>
      <c r="C199" s="4" t="s">
        <v>81</v>
      </c>
      <c r="D199" s="4" t="s">
        <v>59</v>
      </c>
      <c r="E199" s="4" t="s">
        <v>72</v>
      </c>
      <c r="F199" s="4" t="s">
        <v>289</v>
      </c>
      <c r="G199" s="4" t="s">
        <v>290</v>
      </c>
      <c r="H199" s="14" t="n">
        <v>47049.8</v>
      </c>
      <c r="I199" s="14"/>
      <c r="J199" s="15" t="n">
        <v>0.4</v>
      </c>
      <c r="K199" s="14" t="n">
        <v>13920.65</v>
      </c>
      <c r="L199" s="14"/>
      <c r="M199" s="16" t="n">
        <v>46084</v>
      </c>
      <c r="N199" s="16" t="n">
        <v>46214</v>
      </c>
      <c r="O199" s="16" t="n">
        <v>46229</v>
      </c>
      <c r="P199" s="16" t="n">
        <v>46240</v>
      </c>
      <c r="Q199" s="16" t="n">
        <v>46276</v>
      </c>
      <c r="R199" s="4"/>
      <c r="S199" s="4"/>
      <c r="T199" s="4" t="n">
        <v>130</v>
      </c>
      <c r="U199" s="4" t="n">
        <v>15</v>
      </c>
      <c r="V199" s="4" t="n">
        <v>11</v>
      </c>
      <c r="W199" s="4" t="n">
        <v>36</v>
      </c>
      <c r="X199" s="4"/>
      <c r="Y199" s="4"/>
      <c r="Z199" s="4" t="n">
        <v>156</v>
      </c>
      <c r="AA199" s="4"/>
      <c r="AB199" s="4"/>
      <c r="AC199" s="4" t="n">
        <v>51</v>
      </c>
      <c r="AD199" s="14"/>
      <c r="AE199" s="9"/>
      <c r="AF199" s="14"/>
      <c r="AG199" s="14"/>
      <c r="AH199" s="4" t="s">
        <v>142</v>
      </c>
      <c r="AI199" s="4" t="s">
        <v>142</v>
      </c>
      <c r="AJ199" s="4"/>
    </row>
    <row r="200" customFormat="false" ht="15" hidden="false" customHeight="false" outlineLevel="0" collapsed="false">
      <c r="A200" s="4" t="s">
        <v>530</v>
      </c>
      <c r="B200" s="4" t="s">
        <v>531</v>
      </c>
      <c r="C200" s="4" t="s">
        <v>80</v>
      </c>
      <c r="D200" s="4" t="s">
        <v>63</v>
      </c>
      <c r="E200" s="4" t="s">
        <v>71</v>
      </c>
      <c r="F200" s="4" t="s">
        <v>139</v>
      </c>
      <c r="G200" s="4" t="s">
        <v>140</v>
      </c>
      <c r="H200" s="14" t="n">
        <v>9127.17</v>
      </c>
      <c r="I200" s="14" t="n">
        <v>25000</v>
      </c>
      <c r="J200" s="15" t="n">
        <v>0.33</v>
      </c>
      <c r="K200" s="14" t="n">
        <v>2629.4</v>
      </c>
      <c r="L200" s="14" t="n">
        <v>1044.13</v>
      </c>
      <c r="M200" s="16" t="n">
        <v>46090</v>
      </c>
      <c r="N200" s="16" t="n">
        <v>46204</v>
      </c>
      <c r="O200" s="16" t="n">
        <v>46222</v>
      </c>
      <c r="P200" s="16" t="n">
        <v>46230</v>
      </c>
      <c r="Q200" s="16" t="n">
        <v>46247</v>
      </c>
      <c r="R200" s="16" t="n">
        <v>46264</v>
      </c>
      <c r="S200" s="16" t="n">
        <v>46301</v>
      </c>
      <c r="T200" s="4" t="n">
        <v>114</v>
      </c>
      <c r="U200" s="4" t="n">
        <v>18</v>
      </c>
      <c r="V200" s="4" t="n">
        <v>8</v>
      </c>
      <c r="W200" s="4" t="n">
        <v>17</v>
      </c>
      <c r="X200" s="4" t="n">
        <v>17</v>
      </c>
      <c r="Y200" s="4" t="n">
        <v>37</v>
      </c>
      <c r="Z200" s="4" t="n">
        <v>140</v>
      </c>
      <c r="AA200" s="4" t="n">
        <v>211</v>
      </c>
      <c r="AB200" s="4" t="n">
        <v>45</v>
      </c>
      <c r="AC200" s="4" t="n">
        <v>35</v>
      </c>
      <c r="AD200" s="14" t="n">
        <v>1585.27</v>
      </c>
      <c r="AE200" s="9" t="n">
        <v>60.3</v>
      </c>
      <c r="AF200" s="14" t="n">
        <v>8250</v>
      </c>
      <c r="AG200" s="14" t="n">
        <v>15705.87</v>
      </c>
      <c r="AH200" s="4" t="s">
        <v>142</v>
      </c>
      <c r="AI200" s="4" t="s">
        <v>142</v>
      </c>
      <c r="AJ200" s="4"/>
    </row>
    <row r="201" customFormat="false" ht="15" hidden="false" customHeight="false" outlineLevel="0" collapsed="false">
      <c r="A201" s="4" t="s">
        <v>532</v>
      </c>
      <c r="B201" s="4" t="s">
        <v>533</v>
      </c>
      <c r="C201" s="4" t="s">
        <v>80</v>
      </c>
      <c r="D201" s="4" t="s">
        <v>61</v>
      </c>
      <c r="E201" s="4" t="s">
        <v>71</v>
      </c>
      <c r="F201" s="4" t="s">
        <v>289</v>
      </c>
      <c r="G201" s="4" t="s">
        <v>290</v>
      </c>
      <c r="H201" s="14" t="n">
        <v>17873.92</v>
      </c>
      <c r="I201" s="14"/>
      <c r="J201" s="15" t="n">
        <v>0.4</v>
      </c>
      <c r="K201" s="14" t="n">
        <v>6782.85</v>
      </c>
      <c r="L201" s="14"/>
      <c r="M201" s="16" t="n">
        <v>46096</v>
      </c>
      <c r="N201" s="16" t="n">
        <v>46138</v>
      </c>
      <c r="O201" s="16" t="n">
        <v>46154</v>
      </c>
      <c r="P201" s="16" t="n">
        <v>46164</v>
      </c>
      <c r="Q201" s="16" t="n">
        <v>46182</v>
      </c>
      <c r="R201" s="4"/>
      <c r="S201" s="4"/>
      <c r="T201" s="4" t="n">
        <v>42</v>
      </c>
      <c r="U201" s="4" t="n">
        <v>16</v>
      </c>
      <c r="V201" s="4" t="n">
        <v>10</v>
      </c>
      <c r="W201" s="4" t="n">
        <v>18</v>
      </c>
      <c r="X201" s="4"/>
      <c r="Y201" s="4"/>
      <c r="Z201" s="4" t="n">
        <v>68</v>
      </c>
      <c r="AA201" s="4"/>
      <c r="AB201" s="4"/>
      <c r="AC201" s="4" t="n">
        <v>34</v>
      </c>
      <c r="AD201" s="14"/>
      <c r="AE201" s="9"/>
      <c r="AF201" s="14"/>
      <c r="AG201" s="14"/>
      <c r="AH201" s="4" t="s">
        <v>142</v>
      </c>
      <c r="AI201" s="4" t="s">
        <v>142</v>
      </c>
      <c r="AJ201" s="4"/>
    </row>
  </sheetData>
  <autoFilter ref="A1:A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2026-10-13T21:23:14Z</dcterms:created>
  <dc:creator>openpyxl</dc:creator>
  <dc:description/>
  <dc:language>en-US</dc:language>
  <cp:lastModifiedBy/>
  <dcterms:modified xsi:type="dcterms:W3CDTF">2026-10-13T21:23:20Z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